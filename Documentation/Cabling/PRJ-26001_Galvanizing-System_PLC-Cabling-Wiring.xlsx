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Howest\Internship\Galvanizing-Plan-Production-Line\Documentation\Cabling\"/>
    </mc:Choice>
  </mc:AlternateContent>
  <xr:revisionPtr revIDLastSave="0" documentId="13_ncr:1_{24990CF7-7353-4648-8AC7-1E003E39DECE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Config" sheetId="1" r:id="rId1"/>
    <sheet name="Cover" sheetId="2" r:id="rId2"/>
    <sheet name="Cable Schedule" sheetId="3" r:id="rId3"/>
    <sheet name="IO List" sheetId="4" r:id="rId4"/>
    <sheet name="Terminal Block Layout" sheetId="5" state="hidden" r:id="rId5"/>
    <sheet name="Wiring Legend" sheetId="6" r:id="rId6"/>
    <sheet name="Cable Drum Register" sheetId="7" state="hidden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8" i="7" l="1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A2" i="7"/>
  <c r="A1" i="7"/>
  <c r="A1" i="6"/>
  <c r="A1" i="4"/>
  <c r="A2" i="3"/>
  <c r="A1" i="3"/>
  <c r="E12" i="2"/>
  <c r="C12" i="2"/>
  <c r="C11" i="2"/>
  <c r="C10" i="2"/>
  <c r="E9" i="2"/>
  <c r="C9" i="2"/>
  <c r="E8" i="2"/>
  <c r="C8" i="2"/>
  <c r="E7" i="2"/>
  <c r="C7" i="2"/>
  <c r="E6" i="2"/>
  <c r="C6" i="2"/>
  <c r="E5" i="2"/>
  <c r="C5" i="2"/>
  <c r="H2" i="5"/>
  <c r="E2" i="5"/>
  <c r="A1" i="5"/>
</calcChain>
</file>

<file path=xl/sharedStrings.xml><?xml version="1.0" encoding="utf-8"?>
<sst xmlns="http://schemas.openxmlformats.org/spreadsheetml/2006/main" count="1082" uniqueCount="606">
  <si>
    <t>PROJECT CONFIGURATION — VARIABLE DEFINITIONS</t>
  </si>
  <si>
    <t>All sheets reference these cells. Change a value here and it propagates everywhere automatically.</t>
  </si>
  <si>
    <t>SECTION 1 - PROJECT IDENTITY</t>
  </si>
  <si>
    <t>Variable Name</t>
  </si>
  <si>
    <t>Value</t>
  </si>
  <si>
    <t>Unit / Notes</t>
  </si>
  <si>
    <t>Used In</t>
  </si>
  <si>
    <t>Updated</t>
  </si>
  <si>
    <t>Source</t>
  </si>
  <si>
    <t>ProjectName</t>
  </si>
  <si>
    <t>Galvanizing System</t>
  </si>
  <si>
    <t>Project Title</t>
  </si>
  <si>
    <t>All Sheets</t>
  </si>
  <si>
    <t>Client Brief</t>
  </si>
  <si>
    <t>ProjectNumber</t>
  </si>
  <si>
    <t>PRJ-26001</t>
  </si>
  <si>
    <t>Project ID</t>
  </si>
  <si>
    <t>All Sheets – Headers</t>
  </si>
  <si>
    <t>PM System</t>
  </si>
  <si>
    <t>ClientName</t>
  </si>
  <si>
    <t>Howest - Cyber3Lab</t>
  </si>
  <si>
    <t>Client</t>
  </si>
  <si>
    <t>Cover</t>
  </si>
  <si>
    <t>Contract</t>
  </si>
  <si>
    <t>SiteLocation</t>
  </si>
  <si>
    <t>Building J - Cyber3Lab, Howest Brugge, Belgium</t>
  </si>
  <si>
    <t>Location</t>
  </si>
  <si>
    <t>Cover, TBL</t>
  </si>
  <si>
    <t>Site Survey</t>
  </si>
  <si>
    <t>SECTION 2 - PLC PLATFORM (WAGO CC100 751-9402)</t>
  </si>
  <si>
    <t>PLCPlatform</t>
  </si>
  <si>
    <t>WAGO Compact Controller 100</t>
  </si>
  <si>
    <t>Brand / Series</t>
  </si>
  <si>
    <t>Cover, IO List, TBL</t>
  </si>
  <si>
    <t>WAGO 751-9402 Datasheet</t>
  </si>
  <si>
    <t>PLCModelNo</t>
  </si>
  <si>
    <t>751-9402</t>
  </si>
  <si>
    <t>Part Number</t>
  </si>
  <si>
    <t>wago.com/global/p/751-9402</t>
  </si>
  <si>
    <t>PLCProgEnv</t>
  </si>
  <si>
    <t>CODESYS V3.5</t>
  </si>
  <si>
    <t>IDE / Runtime</t>
  </si>
  <si>
    <t>Cover, Wiring Legend</t>
  </si>
  <si>
    <t>WAGO firmware docs</t>
  </si>
  <si>
    <t>PLCComms</t>
  </si>
  <si>
    <t>Modbus TCP, EtherNet/IP, PROFINET, EtherCAT, BACnet, MQTT</t>
  </si>
  <si>
    <t>Protocols</t>
  </si>
  <si>
    <t>Cover, Legend</t>
  </si>
  <si>
    <t>WAGO product page</t>
  </si>
  <si>
    <t>PLCConnType</t>
  </si>
  <si>
    <t>picoMAX® CAGE CLAMP® push-in</t>
  </si>
  <si>
    <t>I/O Connector Type</t>
  </si>
  <si>
    <t>IO List, TBL</t>
  </si>
  <si>
    <t>WAGO datasheet</t>
  </si>
  <si>
    <t>PLCRating</t>
  </si>
  <si>
    <t>IP20 / DIN Rail Mount / 24 VDC</t>
  </si>
  <si>
    <t>Protection / Mounting</t>
  </si>
  <si>
    <t>WAGO 751-9402 spec</t>
  </si>
  <si>
    <t>SECTION 3 - ELECTRICAL SPECIFICATIONS</t>
  </si>
  <si>
    <t>VoltageControl</t>
  </si>
  <si>
    <t>24 VDC</t>
  </si>
  <si>
    <t>Control Supply</t>
  </si>
  <si>
    <t>Cover, IO List, TBL, Legend</t>
  </si>
  <si>
    <t>IEC 60204-1</t>
  </si>
  <si>
    <t>VoltagePower</t>
  </si>
  <si>
    <t>230 V AC, 50 Hz</t>
  </si>
  <si>
    <t>Main Supply</t>
  </si>
  <si>
    <t>Site supply spec</t>
  </si>
  <si>
    <t>EnclosureRating</t>
  </si>
  <si>
    <t>IP65 (Field) / IP54 (Panel)</t>
  </si>
  <si>
    <t>IP Rating</t>
  </si>
  <si>
    <t>IEC 60529</t>
  </si>
  <si>
    <t>SECTION 4 - WAGO CC100 I/O CHANNEL MAP (On-Board I/O)</t>
  </si>
  <si>
    <t>I/O Tag</t>
  </si>
  <si>
    <t>Channel Label</t>
  </si>
  <si>
    <t>CODESYS Addr</t>
  </si>
  <si>
    <t>Signal Type</t>
  </si>
  <si>
    <t>Connector</t>
  </si>
  <si>
    <t>Notes</t>
  </si>
  <si>
    <t>DI10001</t>
  </si>
  <si>
    <t>DI.1</t>
  </si>
  <si>
    <t>%IX0.0</t>
  </si>
  <si>
    <t>DI 24VDC</t>
  </si>
  <si>
    <t>X11 – Pin 1</t>
  </si>
  <si>
    <t>On-board: 8 dedicated DI, 2.8 mA</t>
  </si>
  <si>
    <t>DI10002</t>
  </si>
  <si>
    <t>DI.2</t>
  </si>
  <si>
    <t>%IX0.1</t>
  </si>
  <si>
    <t>X11 – Pin 2</t>
  </si>
  <si>
    <t>24 VDC sinking, RC filter 5µs</t>
  </si>
  <si>
    <t>DI10003</t>
  </si>
  <si>
    <t>DI.3</t>
  </si>
  <si>
    <t>%IX0.2</t>
  </si>
  <si>
    <t>X11 – Pin 3</t>
  </si>
  <si>
    <t>DI10004</t>
  </si>
  <si>
    <t>DI.4</t>
  </si>
  <si>
    <t>%IX0.3</t>
  </si>
  <si>
    <t>X11 – Pin 4</t>
  </si>
  <si>
    <t>DI10005</t>
  </si>
  <si>
    <t>DI.5</t>
  </si>
  <si>
    <t>%IX0.4</t>
  </si>
  <si>
    <t>X11 – Pin 5</t>
  </si>
  <si>
    <t>DI10006</t>
  </si>
  <si>
    <t>DI.6</t>
  </si>
  <si>
    <t>%IX0.5</t>
  </si>
  <si>
    <t>X11 – Pin 6</t>
  </si>
  <si>
    <t>DI10007</t>
  </si>
  <si>
    <t>DI.7</t>
  </si>
  <si>
    <t>%IX0.6</t>
  </si>
  <si>
    <t>X11 – Pin 7</t>
  </si>
  <si>
    <t>DI10008</t>
  </si>
  <si>
    <t>DI.8</t>
  </si>
  <si>
    <t>%IX0.7</t>
  </si>
  <si>
    <t>X11 – Pin 8</t>
  </si>
  <si>
    <t>DI10009</t>
  </si>
  <si>
    <t>DIO.1</t>
  </si>
  <si>
    <t>%IX1.0</t>
  </si>
  <si>
    <t>DI/DO 24VDC</t>
  </si>
  <si>
    <t>X12 – Pin 1</t>
  </si>
  <si>
    <t>8 configurable DIO; set in CODESYS</t>
  </si>
  <si>
    <t>DI10010</t>
  </si>
  <si>
    <t>DIO.2</t>
  </si>
  <si>
    <t>%IX1.1</t>
  </si>
  <si>
    <t>X12 – Pin 2</t>
  </si>
  <si>
    <t>Configure as DI or DO per channel</t>
  </si>
  <si>
    <t>DI10011</t>
  </si>
  <si>
    <t>DIO.3</t>
  </si>
  <si>
    <t>%IX1.2</t>
  </si>
  <si>
    <t>X12 – Pin 3</t>
  </si>
  <si>
    <t>DI10012</t>
  </si>
  <si>
    <t>DIO.4</t>
  </si>
  <si>
    <t>%IX1.3</t>
  </si>
  <si>
    <t>X12 – Pin 4</t>
  </si>
  <si>
    <t>DO20001</t>
  </si>
  <si>
    <t>DIO.5</t>
  </si>
  <si>
    <t>%QX1.4</t>
  </si>
  <si>
    <t>DO 24VDC</t>
  </si>
  <si>
    <t>X12 – Pin 5</t>
  </si>
  <si>
    <t>Configured as DO, 0.5 A max</t>
  </si>
  <si>
    <t>DO20002</t>
  </si>
  <si>
    <t>DIO.6</t>
  </si>
  <si>
    <t>%QX1.5</t>
  </si>
  <si>
    <t>X12 – Pin 6</t>
  </si>
  <si>
    <t>DO20003</t>
  </si>
  <si>
    <t>DIO.7</t>
  </si>
  <si>
    <t>%QX1.6</t>
  </si>
  <si>
    <t>X12 – Pin 7</t>
  </si>
  <si>
    <t>DO20004</t>
  </si>
  <si>
    <t>DIO.8</t>
  </si>
  <si>
    <t>%QX1.7</t>
  </si>
  <si>
    <t>X12 – Pin 8</t>
  </si>
  <si>
    <t>DO20005</t>
  </si>
  <si>
    <t>DIO.1*</t>
  </si>
  <si>
    <t>%QX1.0</t>
  </si>
  <si>
    <t>If needed; DIO re-assigned</t>
  </si>
  <si>
    <t>DO20006</t>
  </si>
  <si>
    <t>DIO.2*</t>
  </si>
  <si>
    <t>%QX1.1</t>
  </si>
  <si>
    <t>DO20007</t>
  </si>
  <si>
    <t>DIO.3*</t>
  </si>
  <si>
    <t>%QX1.2</t>
  </si>
  <si>
    <t>AI30001</t>
  </si>
  <si>
    <t>AI.1</t>
  </si>
  <si>
    <t>%IW0</t>
  </si>
  <si>
    <t>AI 4-20mA / 0-10V</t>
  </si>
  <si>
    <t>X13 – AI1+/AI1-</t>
  </si>
  <si>
    <t>2 dedicated AI; 16-bit resolution</t>
  </si>
  <si>
    <t>AI30002</t>
  </si>
  <si>
    <t>AI.2</t>
  </si>
  <si>
    <t>%IW2</t>
  </si>
  <si>
    <t>X13 – AI2+/AI2-</t>
  </si>
  <si>
    <t>AI30003</t>
  </si>
  <si>
    <t>NI.1</t>
  </si>
  <si>
    <t>%IW4</t>
  </si>
  <si>
    <t>NI1K/PT1K RTD</t>
  </si>
  <si>
    <t>X14 – NI1+/NI1-</t>
  </si>
  <si>
    <t>2 RTD inputs (NI1000/PT1000)</t>
  </si>
  <si>
    <t>AO40001</t>
  </si>
  <si>
    <t>AIO.1</t>
  </si>
  <si>
    <t>%QW0</t>
  </si>
  <si>
    <t>AO 4-20mA / 0-10V</t>
  </si>
  <si>
    <t>X13 – AIO1</t>
  </si>
  <si>
    <t>2 configurable AI/AO; 12-bit</t>
  </si>
  <si>
    <t>SECTION 5 - STANDARDS &amp; REFERENCES</t>
  </si>
  <si>
    <t>Std_Wiring</t>
  </si>
  <si>
    <t>Safety of Machinery</t>
  </si>
  <si>
    <t>IEC</t>
  </si>
  <si>
    <t>Std_WireColor</t>
  </si>
  <si>
    <t>IEC 60446</t>
  </si>
  <si>
    <t>Wire Colour Identification</t>
  </si>
  <si>
    <t>Legend</t>
  </si>
  <si>
    <t>Std_Cables</t>
  </si>
  <si>
    <t>AS/NZS 5000.1</t>
  </si>
  <si>
    <t>Electric Cables – Polymeric</t>
  </si>
  <si>
    <t>Standards AU</t>
  </si>
  <si>
    <t>Std_LocalWire</t>
  </si>
  <si>
    <t>AS/NZS 3000</t>
  </si>
  <si>
    <t>Wiring Rules (Australia/NZ)</t>
  </si>
  <si>
    <t>Std_PLC_HW</t>
  </si>
  <si>
    <t>IEC 61131-2</t>
  </si>
  <si>
    <t>PLCs – Equipment Requirements</t>
  </si>
  <si>
    <t>IO List, Legend</t>
  </si>
  <si>
    <t>SECTION 6 - DOCUMENT REFERENCES</t>
  </si>
  <si>
    <t>DrawingRef</t>
  </si>
  <si>
    <t>EL-PLC-001 to EL-PLC-048</t>
  </si>
  <si>
    <t>Drawing Range</t>
  </si>
  <si>
    <t>Doc Control</t>
  </si>
  <si>
    <t>PreparedBy</t>
  </si>
  <si>
    <t>Prepared By</t>
  </si>
  <si>
    <t>ApprovedBy</t>
  </si>
  <si>
    <t>Laurens Singier</t>
  </si>
  <si>
    <t>Approved By</t>
  </si>
  <si>
    <t>RevStatus</t>
  </si>
  <si>
    <t>REV A - Issued for Construction</t>
  </si>
  <si>
    <t>Revision Status</t>
  </si>
  <si>
    <t>Engineer</t>
  </si>
  <si>
    <t>Attila Peter Szucs</t>
  </si>
  <si>
    <t>Lead Engineer</t>
  </si>
  <si>
    <t>Discipline</t>
  </si>
  <si>
    <t>Electrical / Instrumentation</t>
  </si>
  <si>
    <t>INDUSTRIAL PLC CABLING &amp; WIRING SYSTEM</t>
  </si>
  <si>
    <t>Project Documentation Package</t>
  </si>
  <si>
    <t>PROJECT INFORMATION</t>
  </si>
  <si>
    <t>Project Name:</t>
  </si>
  <si>
    <t>Project No.:</t>
  </si>
  <si>
    <t>Client:</t>
  </si>
  <si>
    <t>Site Location:</t>
  </si>
  <si>
    <t>Engineer:</t>
  </si>
  <si>
    <t>Discipline:</t>
  </si>
  <si>
    <t>Drawing Ref:</t>
  </si>
  <si>
    <t>PLC Platform:</t>
  </si>
  <si>
    <t>Voltage (Control):</t>
  </si>
  <si>
    <t>Voltage (Power):</t>
  </si>
  <si>
    <t>Enclosure Rating:</t>
  </si>
  <si>
    <t>Standard:</t>
  </si>
  <si>
    <t>IEC 60204-1 / AS/NZS 3000</t>
  </si>
  <si>
    <t>Prepared By:</t>
  </si>
  <si>
    <t>Date:</t>
  </si>
  <si>
    <t>Approved By:</t>
  </si>
  <si>
    <t>Rev Status:</t>
  </si>
  <si>
    <t>DOCUMENT INDEX</t>
  </si>
  <si>
    <t>Sheet / Tab</t>
  </si>
  <si>
    <t>Document Title</t>
  </si>
  <si>
    <t>Description</t>
  </si>
  <si>
    <t>Status</t>
  </si>
  <si>
    <t>Project Cover Sheet</t>
  </si>
  <si>
    <t>Project information and document index</t>
  </si>
  <si>
    <t>Cable Schedule</t>
  </si>
  <si>
    <t>Full cable listing with specs, routing &amp; terminations</t>
  </si>
  <si>
    <t>IO List</t>
  </si>
  <si>
    <t>PLC I/O List</t>
  </si>
  <si>
    <t>Digital and analog I/O assignments with signal details</t>
  </si>
  <si>
    <t>Terminal Block Layout</t>
  </si>
  <si>
    <t>Panel terminal block assignments and wire mapping</t>
  </si>
  <si>
    <t>Cable Drum Register</t>
  </si>
  <si>
    <t>Drum tracking, lengths issued and remaining</t>
  </si>
  <si>
    <t>Wiring Legend</t>
  </si>
  <si>
    <t>Wiring Legend &amp; Standards</t>
  </si>
  <si>
    <t>Color codes, abbreviations, cable types, standards ref</t>
  </si>
  <si>
    <t>GENERAL NOTES</t>
  </si>
  <si>
    <t>1. All cabling shall be installed in accordance with IEC 60204-1 and local wiring regulations.</t>
  </si>
  <si>
    <t>2. Signal cables (4–20 mA) must be segregated from power cables (minimum 200 mm separation).</t>
  </si>
  <si>
    <t>3. All cable screens/shields to be grounded at ONE end only (control panel end) unless otherwise noted.</t>
  </si>
  <si>
    <t>4. Minimum cable bending radius: 6× cable OD (multi-core), 8× cable OD (armoured).</t>
  </si>
  <si>
    <t>5. All field terminations to use ferrules (bootlace type). Crimping tool: Weidmuller or equivalent.</t>
  </si>
  <si>
    <t>6. WAGO CC100 I/O: 8 DI (X12), 8 configurable DIO (X5), 2 AI + 2 AIO (X6), 2 NI/PT (X13). All on-board; 24 VDC.</t>
  </si>
  <si>
    <t>7. Motor cables must be shielded (VFD duty) where inverter drives are installed.</t>
  </si>
  <si>
    <t>#</t>
  </si>
  <si>
    <t>Cable No.</t>
  </si>
  <si>
    <t>From (Source)</t>
  </si>
  <si>
    <t>From Location</t>
  </si>
  <si>
    <t>From Terminal</t>
  </si>
  <si>
    <t>To (Destination)</t>
  </si>
  <si>
    <t>To Location</t>
  </si>
  <si>
    <t>To Terminal</t>
  </si>
  <si>
    <t>Cable Type</t>
  </si>
  <si>
    <t>Cores</t>
  </si>
  <si>
    <t>Size mm²</t>
  </si>
  <si>
    <t>Volt Rating</t>
  </si>
  <si>
    <t>Shield</t>
  </si>
  <si>
    <t>Length m</t>
  </si>
  <si>
    <t>Conduit / Tray</t>
  </si>
  <si>
    <t>Rev</t>
  </si>
  <si>
    <t>NET-W101</t>
  </si>
  <si>
    <t>WAGO 852-1812</t>
  </si>
  <si>
    <t>Panel Cabinet</t>
  </si>
  <si>
    <t>X3</t>
  </si>
  <si>
    <t>WAGO CC100 751-9402</t>
  </si>
  <si>
    <t>X1</t>
  </si>
  <si>
    <t>SF/UTP Cat6a</t>
  </si>
  <si>
    <t>4P</t>
  </si>
  <si>
    <t>24 AWG</t>
  </si>
  <si>
    <t>100V</t>
  </si>
  <si>
    <t>No</t>
  </si>
  <si>
    <t>50 cm</t>
  </si>
  <si>
    <t>Installed</t>
  </si>
  <si>
    <t>C</t>
  </si>
  <si>
    <t>NET-W102</t>
  </si>
  <si>
    <t>EXT_NETWORK_UPLINK</t>
  </si>
  <si>
    <t>External</t>
  </si>
  <si>
    <t>-</t>
  </si>
  <si>
    <t>3 m</t>
  </si>
  <si>
    <t>NET-W103</t>
  </si>
  <si>
    <t>X8</t>
  </si>
  <si>
    <t>EXT_SERVICE_CON</t>
  </si>
  <si>
    <t>2 m</t>
  </si>
  <si>
    <t>NET-W104</t>
  </si>
  <si>
    <t>X2</t>
  </si>
  <si>
    <t>WAGO Web Panel 400 (A1)</t>
  </si>
  <si>
    <t>X1:ETH</t>
  </si>
  <si>
    <t>PWR-W10</t>
  </si>
  <si>
    <t>Power Outlet (230V AC)</t>
  </si>
  <si>
    <t>X1 (L/N/PE)</t>
  </si>
  <si>
    <t>G1 - QUINT POWER AC/DC Converter</t>
  </si>
  <si>
    <t>X10</t>
  </si>
  <si>
    <t>ÖLFLEX CLASSIC 100</t>
  </si>
  <si>
    <t>3G</t>
  </si>
  <si>
    <t>1.5 mm²</t>
  </si>
  <si>
    <t>300/500V</t>
  </si>
  <si>
    <t>PWR-W11</t>
  </si>
  <si>
    <t>X2 (L/N/PE)</t>
  </si>
  <si>
    <t>G2 - WAGO 787-1202 AC/DC Converter</t>
  </si>
  <si>
    <t>100/240V</t>
  </si>
  <si>
    <t>1.9 m</t>
  </si>
  <si>
    <t>PWR-W13</t>
  </si>
  <si>
    <t>24V DC Distribution Block (X24V)</t>
  </si>
  <si>
    <t>24V_PLC_1 / 0V_PLC_1</t>
  </si>
  <si>
    <t>WAGO CC100 751-9402 (KF10)</t>
  </si>
  <si>
    <t>86.1 / 86.2</t>
  </si>
  <si>
    <t>2xAWG20</t>
  </si>
  <si>
    <t>0.5 mm²</t>
  </si>
  <si>
    <t>24V DC</t>
  </si>
  <si>
    <t>PWR-W14</t>
  </si>
  <si>
    <t>24V_SW1 / 0V_SW1</t>
  </si>
  <si>
    <t>WAGO 852-1812 Switch (KF1)</t>
  </si>
  <si>
    <t>PWR+ / PWR-</t>
  </si>
  <si>
    <t>30 cm</t>
  </si>
  <si>
    <t>PWR-W15</t>
  </si>
  <si>
    <t>24V DC Distribution Block (X0V)</t>
  </si>
  <si>
    <t>+-24V_PLC_X5:1 / +-0V_PLC_X5:2</t>
  </si>
  <si>
    <t>X5 (DIO power)</t>
  </si>
  <si>
    <t>25 cm</t>
  </si>
  <si>
    <t>HMI-W12</t>
  </si>
  <si>
    <t>+-24V_HMI_1 / +-0V_HMI_1 / +-PE_HMI_1</t>
  </si>
  <si>
    <t>X3.1 / X3.2 / X3.3</t>
  </si>
  <si>
    <t>3xAWG20</t>
  </si>
  <si>
    <t>PLC-W10</t>
  </si>
  <si>
    <t>0V DC Distribution Block (X0V)</t>
  </si>
  <si>
    <t>+-0V_PLC_X12:2</t>
  </si>
  <si>
    <t>X12.2 (0V ref)</t>
  </si>
  <si>
    <t>1xAWG20</t>
  </si>
  <si>
    <t>PLC-W11</t>
  </si>
  <si>
    <t>+-24V_PLC_X12:3</t>
  </si>
  <si>
    <t>S1 - E-Stop / Control Button</t>
  </si>
  <si>
    <t>COM</t>
  </si>
  <si>
    <t>PLC-W12</t>
  </si>
  <si>
    <t>X12.3 (DI input)</t>
  </si>
  <si>
    <t>NO</t>
  </si>
  <si>
    <t>PLC-W101</t>
  </si>
  <si>
    <t>X1 (ETH)</t>
  </si>
  <si>
    <t>LNK X3</t>
  </si>
  <si>
    <t>PLC-W102</t>
  </si>
  <si>
    <t>X5:DIO1 / DIO2 / DIO3</t>
  </si>
  <si>
    <t>P1 (Red) / P2 (Blue) / P3 (Green) Indicators</t>
  </si>
  <si>
    <t>Pin 1 (each)</t>
  </si>
  <si>
    <t>60 cm</t>
  </si>
  <si>
    <t>PLC-W103</t>
  </si>
  <si>
    <t>Pin 2 (return, each)</t>
  </si>
  <si>
    <t>+-0V_P1/P2/P3_X1</t>
  </si>
  <si>
    <t>Cable / Wire No.</t>
  </si>
  <si>
    <t>Range / State</t>
  </si>
  <si>
    <t>Wire +</t>
  </si>
  <si>
    <t>Wire -</t>
  </si>
  <si>
    <t>Screen</t>
  </si>
  <si>
    <t>Terminal</t>
  </si>
  <si>
    <t>Remarks</t>
  </si>
  <si>
    <t>DIGITAL INPUTS (DI) - 24 VDC  |  CC100: X12 (DI.1–DI.8)</t>
  </si>
  <si>
    <t>X12:2</t>
  </si>
  <si>
    <t>PLC 0V</t>
  </si>
  <si>
    <t>20 AWG</t>
  </si>
  <si>
    <t>DC</t>
  </si>
  <si>
    <t>0 VDC</t>
  </si>
  <si>
    <t>-X0V</t>
  </si>
  <si>
    <t>X12:3</t>
  </si>
  <si>
    <t>Button 24V</t>
  </si>
  <si>
    <t>%IX6.0</t>
  </si>
  <si>
    <t>DI</t>
  </si>
  <si>
    <t>DIGITAL OUTPUTS (DO) - 24 VDC  |  CC100: X5 (DIO channels configured as DO)</t>
  </si>
  <si>
    <t>X5:3</t>
  </si>
  <si>
    <t>Shneider Electric - Harmony XB5AVB4 (Red)</t>
  </si>
  <si>
    <t>%QX0.0</t>
  </si>
  <si>
    <t>24VDC</t>
  </si>
  <si>
    <t>X5:4</t>
  </si>
  <si>
    <t>Shneider Electric - Harmony XB5AVB6 (Blue)</t>
  </si>
  <si>
    <t>%QX0.1</t>
  </si>
  <si>
    <t>X5:5</t>
  </si>
  <si>
    <t>Shneider Electric - Harmony XB5AVB3 (Green)</t>
  </si>
  <si>
    <t>20AWG</t>
  </si>
  <si>
    <t>%QX0.2</t>
  </si>
  <si>
    <t>ANALOG INPUTS (AI) - 4-20 mA / 0-10 V / NI1K / PT1K  |  CC100: X13 (AI, AIO) and X14 (NI/PT)</t>
  </si>
  <si>
    <t>ANALOG OUTPUTS (AO) - 4-20 mA / 0-10 V  |  CC100: X13 (AIO channels configured as AO)</t>
  </si>
  <si>
    <t>24V DC BUS - POWER DISTRIBUTION  |  5 Inputs / 5 Outputs</t>
  </si>
  <si>
    <t>24VIN-1</t>
  </si>
  <si>
    <t>24V DC Bus Input 1</t>
  </si>
  <si>
    <t>24V+</t>
  </si>
  <si>
    <t>Red</t>
  </si>
  <si>
    <t>Black</t>
  </si>
  <si>
    <t>—</t>
  </si>
  <si>
    <t>24VIN-2</t>
  </si>
  <si>
    <t>24V DC Bus Input 2</t>
  </si>
  <si>
    <t>24VIN-3</t>
  </si>
  <si>
    <t>24V DC Bus Input 3</t>
  </si>
  <si>
    <t>24VIN-4</t>
  </si>
  <si>
    <t>24V DC Bus Input 4</t>
  </si>
  <si>
    <t>24VIN-5</t>
  </si>
  <si>
    <t>24V DC Bus Input 5</t>
  </si>
  <si>
    <t>24VOUT-1</t>
  </si>
  <si>
    <t>24V DC Bus Output 1</t>
  </si>
  <si>
    <t>24VOUT-2</t>
  </si>
  <si>
    <t>24V DC Bus Output 2</t>
  </si>
  <si>
    <t>24VOUT-3</t>
  </si>
  <si>
    <t>24V DC Bus Output 3</t>
  </si>
  <si>
    <t>24VOUT-4</t>
  </si>
  <si>
    <t>24V DC Bus Output 4</t>
  </si>
  <si>
    <t>24VOUT-5</t>
  </si>
  <si>
    <t>24V DC Bus Output 5</t>
  </si>
  <si>
    <t>0V DC BUS - POWER DISTRIBUTION  |  5 Inputs / 5 Outputs</t>
  </si>
  <si>
    <t>0VIN-1</t>
  </si>
  <si>
    <t>0V DC Bus Input 1</t>
  </si>
  <si>
    <t>0V−</t>
  </si>
  <si>
    <t>0V DC</t>
  </si>
  <si>
    <t>0VIN-2</t>
  </si>
  <si>
    <t>0V DC Bus Input 2</t>
  </si>
  <si>
    <t>0VIN-3</t>
  </si>
  <si>
    <t>0V DC Bus Input 3</t>
  </si>
  <si>
    <t>0VIN-4</t>
  </si>
  <si>
    <t>0V DC Bus Input 4</t>
  </si>
  <si>
    <t>0VIN-5</t>
  </si>
  <si>
    <t>0V DC Bus Input 5</t>
  </si>
  <si>
    <t>0VOUT-1</t>
  </si>
  <si>
    <t>0V DC Bus Output 1</t>
  </si>
  <si>
    <t>0VOUT-2</t>
  </si>
  <si>
    <t>0V DC Bus Output 2</t>
  </si>
  <si>
    <t>0VOUT-3</t>
  </si>
  <si>
    <t>0V DC Bus Output 3</t>
  </si>
  <si>
    <t>0VOUT-4</t>
  </si>
  <si>
    <t>0V DC Bus Output 4</t>
  </si>
  <si>
    <t>0VOUT-5</t>
  </si>
  <si>
    <t>0V DC Bus Output 5</t>
  </si>
  <si>
    <t>AC/DC CONVERTER - POWER SUPPLY  |  3 Inputs (L, N, PE) / 4 Outputs (++, --)</t>
  </si>
  <si>
    <t>ACIN-L</t>
  </si>
  <si>
    <t>AC Input - Line (L)</t>
  </si>
  <si>
    <t>L</t>
  </si>
  <si>
    <t>230V AC</t>
  </si>
  <si>
    <t>Brown</t>
  </si>
  <si>
    <t>AC Mains Input</t>
  </si>
  <si>
    <t>ACIN-N</t>
  </si>
  <si>
    <t>AC Input - Neutral (N)</t>
  </si>
  <si>
    <t>N</t>
  </si>
  <si>
    <t>Blue</t>
  </si>
  <si>
    <t>ACIN-PE</t>
  </si>
  <si>
    <t>AC Input - Protective Earth (PE)</t>
  </si>
  <si>
    <t>PE</t>
  </si>
  <si>
    <t>0V / Earth</t>
  </si>
  <si>
    <t>Earth</t>
  </si>
  <si>
    <t>Green/Yellow</t>
  </si>
  <si>
    <t>Earth Bonding</t>
  </si>
  <si>
    <t>DCOUT-1+</t>
  </si>
  <si>
    <t>DC Output 1 - Positive (+)</t>
  </si>
  <si>
    <t>V+</t>
  </si>
  <si>
    <t>To 24V DC Bus</t>
  </si>
  <si>
    <t>DCOUT-2+</t>
  </si>
  <si>
    <t>DC Output 2 - Positive (+)</t>
  </si>
  <si>
    <t>DCOUT-1−</t>
  </si>
  <si>
    <t>DC Output 1 - Negative (-)</t>
  </si>
  <si>
    <t>V−</t>
  </si>
  <si>
    <t>To 0V DC Bus</t>
  </si>
  <si>
    <t>DCOUT-2−</t>
  </si>
  <si>
    <t>DC Output 2 - Negative (-)</t>
  </si>
  <si>
    <t>Panel ID: 1</t>
  </si>
  <si>
    <t>Panel Name: PCW</t>
  </si>
  <si>
    <t>DIN RAIL 1 - Power Supply &amp; Earth Terminals</t>
  </si>
  <si>
    <t>TB No.</t>
  </si>
  <si>
    <t>Term No.</t>
  </si>
  <si>
    <t>Terminal Type</t>
  </si>
  <si>
    <t>Wire Color</t>
  </si>
  <si>
    <t>Cross-Section mm²</t>
  </si>
  <si>
    <t>Cable Core</t>
  </si>
  <si>
    <t>To / From</t>
  </si>
  <si>
    <t>Tag / Description</t>
  </si>
  <si>
    <t>Ferrule</t>
  </si>
  <si>
    <t>Jumper</t>
  </si>
  <si>
    <t>DIN RAIL 1 - Digital I/O Interface Terminals  |  CC100: X12 (DI.1–8) / X5 (DIO.1–8)</t>
  </si>
  <si>
    <t>DIN RAIL 1 - Analog Signal Interface Terminals  |  CC100: X13 (AI/AIO) / X14 (NI/PT)</t>
  </si>
  <si>
    <t>1. WIRE COLOR CODES — IEC 60446 / AS/NZS 3000</t>
  </si>
  <si>
    <t>Function</t>
  </si>
  <si>
    <t>Hex Code</t>
  </si>
  <si>
    <t>IEC Ref</t>
  </si>
  <si>
    <t>Application</t>
  </si>
  <si>
    <t>Voltage Level</t>
  </si>
  <si>
    <t>Ferrule Color</t>
  </si>
  <si>
    <t>24V DC Positive</t>
  </si>
  <si>
    <t>#FF0000</t>
  </si>
  <si>
    <t>24V DC Supply Positive</t>
  </si>
  <si>
    <t>20 AWG / 0.5mm²</t>
  </si>
  <si>
    <t>0V DC Negative</t>
  </si>
  <si>
    <t>#000000</t>
  </si>
  <si>
    <t>24V DC Supply Negative / Return</t>
  </si>
  <si>
    <t>Protective Earth (PE)</t>
  </si>
  <si>
    <t>Green / Yellow</t>
  </si>
  <si>
    <t>#00B050 / #FFFF00</t>
  </si>
  <si>
    <t>Protective Earth / Safety Grounding</t>
  </si>
  <si>
    <t>Line (L) - AC Live</t>
  </si>
  <si>
    <t>#843C0C</t>
  </si>
  <si>
    <t>L - AC Line / Live Conductor</t>
  </si>
  <si>
    <t>3G 1mm²</t>
  </si>
  <si>
    <t>Neutral (N) - AC Neutral</t>
  </si>
  <si>
    <t>#2E75B6</t>
  </si>
  <si>
    <t>N - AC Neutral Conductor</t>
  </si>
  <si>
    <t>0V AC</t>
  </si>
  <si>
    <t>2. CABLE TYPE REFERENCE - SPECIFICATIONS</t>
  </si>
  <si>
    <t>Cable Code</t>
  </si>
  <si>
    <t>Cable Description</t>
  </si>
  <si>
    <t>Standard</t>
  </si>
  <si>
    <t>Outer Color</t>
  </si>
  <si>
    <t>Temp Range</t>
  </si>
  <si>
    <t>Min Bend Radius</t>
  </si>
  <si>
    <t>3. ABBREVIATIONS &amp; TAG CODES</t>
  </si>
  <si>
    <t>Abbreviation</t>
  </si>
  <si>
    <t>Meaning</t>
  </si>
  <si>
    <t>4. APPLICABLE STANDARDS &amp; CODES</t>
  </si>
  <si>
    <t>Title</t>
  </si>
  <si>
    <t>Applies To</t>
  </si>
  <si>
    <t>Safety of Machinery – Electrical Equipment</t>
  </si>
  <si>
    <t>Panel wiring, control circuits, safety</t>
  </si>
  <si>
    <t>Current edition</t>
  </si>
  <si>
    <t>IEC 60228</t>
  </si>
  <si>
    <t>Conductors of Insulated Cables</t>
  </si>
  <si>
    <t>Wire sizing and classification</t>
  </si>
  <si>
    <t>Identification of Conductors by Colours</t>
  </si>
  <si>
    <t>Wire colour coding</t>
  </si>
  <si>
    <t>Brown/Black/Grey/Blue/G-Y</t>
  </si>
  <si>
    <t>IEC 60502</t>
  </si>
  <si>
    <t>Power Cables 1kV–30kV</t>
  </si>
  <si>
    <t>LV power cable specs</t>
  </si>
  <si>
    <t>XLPE and PVC</t>
  </si>
  <si>
    <t>IEC 60584</t>
  </si>
  <si>
    <t>Thermocouples</t>
  </si>
  <si>
    <t>TC types and extension cables</t>
  </si>
  <si>
    <t>J, K, T, E type</t>
  </si>
  <si>
    <t>PLC hardware I/O specs</t>
  </si>
  <si>
    <t>Signal levels, filtering</t>
  </si>
  <si>
    <t>IEC 61156</t>
  </si>
  <si>
    <t>Data Cables for Digital Communications</t>
  </si>
  <si>
    <t>Ethernet and comms cables</t>
  </si>
  <si>
    <t>Cat6 and RS485</t>
  </si>
  <si>
    <t>All electrical installations</t>
  </si>
  <si>
    <t>Local regulatory compliance</t>
  </si>
  <si>
    <t>Electric Cables – Polymeric Insulated</t>
  </si>
  <si>
    <t>LV power and control cables</t>
  </si>
  <si>
    <t>Australian cable standard</t>
  </si>
  <si>
    <t>IEC 61000-4-5</t>
  </si>
  <si>
    <t>EMC – Surge Immunity</t>
  </si>
  <si>
    <t>Panel surge protection</t>
  </si>
  <si>
    <t>Cable segregation distances</t>
  </si>
  <si>
    <t>5. WAGO CC100 (751-9402) I/O CONNECTOR REFERENCE</t>
  </si>
  <si>
    <t>Channel(s)</t>
  </si>
  <si>
    <t>CODESYS Address</t>
  </si>
  <si>
    <t>X11</t>
  </si>
  <si>
    <t>DI.1 – DI.8  (8 channels)</t>
  </si>
  <si>
    <t>Digital Input 24VDC, sinking, 2.8 mA</t>
  </si>
  <si>
    <t xml:space="preserve">  %IX0.0 – %IX0.7</t>
  </si>
  <si>
    <t>X12</t>
  </si>
  <si>
    <t>DIO.1 – DIO.8  (8 channels)</t>
  </si>
  <si>
    <t>Configurable DI or DO 24VDC, 0.5 A</t>
  </si>
  <si>
    <t xml:space="preserve">  %IX1.0–%IX1.7 / %QX1.0–%QX1.7</t>
  </si>
  <si>
    <t>X13 (AI)</t>
  </si>
  <si>
    <t>AI.1 – AI.2  (2 channels)</t>
  </si>
  <si>
    <t>Analog Input 4-20 mA / 0-10 V, 16-bit</t>
  </si>
  <si>
    <t xml:space="preserve">  %IW0, %IW2</t>
  </si>
  <si>
    <t>X13 (AIO)</t>
  </si>
  <si>
    <t>AIO.1 – AIO.2  (2 channels)</t>
  </si>
  <si>
    <t>Configurable AI or AO 4-20 mA / 0-10 V</t>
  </si>
  <si>
    <t xml:space="preserve">  %IW4, %IW6 / %QW0, %QW2</t>
  </si>
  <si>
    <t>X14 (NI/PT)</t>
  </si>
  <si>
    <t>NI.1 – NI.2  (2 channels)</t>
  </si>
  <si>
    <t>NI1000 / PT1000 RTD temperature input</t>
  </si>
  <si>
    <t xml:space="preserve">  %IW8, %IW10</t>
  </si>
  <si>
    <t>RS-485 (×2)</t>
  </si>
  <si>
    <t>Port 1 and Port 2</t>
  </si>
  <si>
    <t>RS-485 serial: Modbus RTU, custom serial</t>
  </si>
  <si>
    <t xml:space="preserve">  SysLibCom / ModbusRTU lib</t>
  </si>
  <si>
    <t>Ethernet (×2)</t>
  </si>
  <si>
    <t>X1 (ETH1), X2 (ETH2)</t>
  </si>
  <si>
    <t>Modbus TCP, PROFINET, EtherCAT, BACnet, MQTT</t>
  </si>
  <si>
    <t xml:space="preserve">  Configured via WBM / CODESYS</t>
  </si>
  <si>
    <t>Drum ID</t>
  </si>
  <si>
    <t>Cable Type &amp; Spec</t>
  </si>
  <si>
    <t>Core Qty</t>
  </si>
  <si>
    <t>Core Size</t>
  </si>
  <si>
    <t>Full Length (m)</t>
  </si>
  <si>
    <t>Issued (m)</t>
  </si>
  <si>
    <t>Remaining (m)</t>
  </si>
  <si>
    <t>Location / Bay</t>
  </si>
  <si>
    <t>Date Received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</si>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</sst>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charset val="1"/>
    </font>
    <font>
      <b/>
      <sz val="9"/>
      <color rgb="FFFFFFFF"/>
      <name val="Aptos Narrow"/>
      <family val="2"/>
      <charset val="1"/>
    </font>
    <font>
      <i/>
      <sz val="9"/>
      <color theme="1"/>
      <name val="Aptos Narrow"/>
      <family val="2"/>
      <charset val="1"/>
    </font>
    <font>
      <b/>
      <sz val="9"/>
      <color theme="1"/>
      <name val="Aptos Narrow"/>
      <family val="2"/>
      <charset val="1"/>
    </font>
    <font>
      <sz val="9"/>
      <color rgb="FF0000FF"/>
      <name val="Aptos Narrow"/>
      <family val="2"/>
      <charset val="1"/>
    </font>
    <font>
      <sz val="9"/>
      <color theme="1"/>
      <name val="Aptos Narrow"/>
      <family val="2"/>
      <charset val="1"/>
    </font>
    <font>
      <sz val="9"/>
      <color rgb="FFFFFFFF"/>
      <name val="Aptos Narrow"/>
      <family val="2"/>
      <charset val="1"/>
    </font>
    <font>
      <b/>
      <sz val="9"/>
      <color rgb="FF1F3864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i/>
      <sz val="8"/>
      <color theme="1"/>
      <name val="Aptos Narrow"/>
      <family val="2"/>
      <charset val="1"/>
    </font>
    <font>
      <sz val="9"/>
      <color rgb="FFAAAAAA"/>
      <name val="Aptos Narrow"/>
      <charset val="1"/>
    </font>
    <font>
      <sz val="9"/>
      <color rgb="FF000000"/>
      <name val="Aptos Narrow"/>
      <charset val="1"/>
    </font>
    <font>
      <sz val="9"/>
      <color rgb="FFAAAAAA"/>
      <name val="Aptos Narrow"/>
      <family val="2"/>
      <charset val="1"/>
    </font>
    <font>
      <b/>
      <sz val="11"/>
      <color rgb="FFFFFFFF"/>
      <name val="Aptos Narrow"/>
      <charset val="1"/>
    </font>
    <font>
      <b/>
      <sz val="9"/>
      <color rgb="FFFFFFFF"/>
      <name val="Aptos Narrow"/>
      <charset val="1"/>
    </font>
    <font>
      <sz val="9"/>
      <color rgb="FFFFFFFF"/>
      <name val="Aptos Narrow"/>
      <charset val="1"/>
    </font>
    <font>
      <sz val="9"/>
      <color rgb="FF000000"/>
      <name val="Aptos Narrow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E1F2"/>
      </patternFill>
    </fill>
    <fill>
      <patternFill patternType="solid">
        <fgColor rgb="FF2E75B6"/>
        <bgColor rgb="FF0066CC"/>
      </patternFill>
    </fill>
    <fill>
      <patternFill patternType="solid">
        <fgColor rgb="FF9DC3E6"/>
        <bgColor rgb="FFC0C0C0"/>
      </patternFill>
    </fill>
    <fill>
      <patternFill patternType="solid">
        <fgColor rgb="FFD9E1F2"/>
        <bgColor rgb="FFBDD7EE"/>
      </patternFill>
    </fill>
    <fill>
      <patternFill patternType="solid">
        <fgColor rgb="FFF2F7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BF3FB"/>
        <bgColor rgb="FFF2F7FB"/>
      </patternFill>
    </fill>
    <fill>
      <patternFill patternType="solid">
        <fgColor rgb="FFF9F9F9"/>
        <bgColor rgb="FFF2F7FB"/>
      </patternFill>
    </fill>
    <fill>
      <patternFill patternType="solid">
        <fgColor rgb="FFFF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D828"/>
        <bgColor rgb="FFAAAAAA"/>
      </patternFill>
    </fill>
    <fill>
      <patternFill patternType="solid">
        <fgColor rgb="FF843C0C"/>
        <bgColor rgb="FF99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4" fillId="4" borderId="0" xfId="0" applyFont="1" applyFill="1" applyAlignment="1">
      <alignment vertical="center"/>
    </xf>
    <xf numFmtId="0" fontId="14" fillId="4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7" fillId="8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5" fillId="9" borderId="0" xfId="0" applyFont="1" applyFill="1" applyAlignment="1">
      <alignment vertical="center" wrapText="1"/>
    </xf>
    <xf numFmtId="0" fontId="5" fillId="10" borderId="0" xfId="0" applyFont="1" applyFill="1" applyAlignment="1">
      <alignment vertical="center" wrapText="1"/>
    </xf>
    <xf numFmtId="0" fontId="8" fillId="2" borderId="0" xfId="0" applyFont="1" applyFill="1"/>
    <xf numFmtId="0" fontId="9" fillId="3" borderId="0" xfId="0" applyFont="1" applyFill="1"/>
    <xf numFmtId="0" fontId="1" fillId="4" borderId="0" xfId="0" applyFont="1" applyFill="1" applyAlignment="1">
      <alignment horizontal="center" wrapText="1"/>
    </xf>
    <xf numFmtId="0" fontId="10" fillId="8" borderId="0" xfId="0" applyFont="1" applyFill="1" applyAlignment="1">
      <alignment vertical="center" wrapText="1"/>
    </xf>
    <xf numFmtId="0" fontId="11" fillId="8" borderId="0" xfId="0" applyFont="1" applyFill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2" fillId="9" borderId="0" xfId="0" applyFont="1" applyFill="1" applyAlignment="1">
      <alignment vertical="center" wrapText="1"/>
    </xf>
    <xf numFmtId="0" fontId="13" fillId="2" borderId="0" xfId="0" applyFont="1" applyFill="1"/>
    <xf numFmtId="0" fontId="12" fillId="8" borderId="0" xfId="0" applyFont="1" applyFill="1" applyAlignment="1">
      <alignment horizontal="center" vertical="center" wrapText="1"/>
    </xf>
    <xf numFmtId="49" fontId="5" fillId="8" borderId="0" xfId="0" applyNumberFormat="1" applyFont="1" applyFill="1" applyAlignment="1">
      <alignment vertical="center" wrapText="1"/>
    </xf>
    <xf numFmtId="0" fontId="0" fillId="0" borderId="0" xfId="0" applyAlignment="1">
      <alignment vertical="center"/>
    </xf>
    <xf numFmtId="0" fontId="12" fillId="9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1" fillId="9" borderId="0" xfId="0" applyFont="1" applyFill="1"/>
    <xf numFmtId="0" fontId="10" fillId="8" borderId="0" xfId="0" applyFont="1" applyFill="1" applyAlignment="1">
      <alignment horizontal="center"/>
    </xf>
    <xf numFmtId="0" fontId="11" fillId="8" borderId="0" xfId="0" applyFont="1" applyFill="1"/>
    <xf numFmtId="0" fontId="10" fillId="9" borderId="0" xfId="0" applyFont="1" applyFill="1" applyAlignment="1">
      <alignment horizontal="center"/>
    </xf>
    <xf numFmtId="0" fontId="5" fillId="3" borderId="0" xfId="0" applyFont="1" applyFill="1" applyAlignment="1">
      <alignment vertical="center" wrapText="1"/>
    </xf>
    <xf numFmtId="0" fontId="11" fillId="11" borderId="0" xfId="0" applyFont="1" applyFill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15" fillId="12" borderId="0" xfId="0" applyFont="1" applyFill="1" applyAlignment="1">
      <alignment vertical="center" wrapText="1"/>
    </xf>
    <xf numFmtId="0" fontId="16" fillId="9" borderId="0" xfId="0" applyFont="1" applyFill="1" applyAlignment="1">
      <alignment vertical="center" wrapText="1"/>
    </xf>
    <xf numFmtId="0" fontId="16" fillId="13" borderId="0" xfId="0" applyFont="1" applyFill="1" applyAlignment="1">
      <alignment vertical="center" wrapText="1"/>
    </xf>
    <xf numFmtId="0" fontId="16" fillId="8" borderId="0" xfId="0" applyFont="1" applyFill="1" applyAlignment="1">
      <alignment vertical="center" wrapText="1"/>
    </xf>
    <xf numFmtId="0" fontId="6" fillId="14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left" vertical="center" wrapText="1"/>
    </xf>
    <xf numFmtId="0" fontId="11" fillId="8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D9E1F2"/>
      <rgbColor rgb="FFFFFF99"/>
      <rgbColor rgb="FF9DC3E6"/>
      <rgbColor rgb="FFFF99CC"/>
      <rgbColor rgb="FFCC99FF"/>
      <rgbColor rgb="FFFFCC99"/>
      <rgbColor rgb="FF2E75B6"/>
      <rgbColor rgb="FF33CCCC"/>
      <rgbColor rgb="FF80D828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843C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zoomScaleNormal="100" workbookViewId="0">
      <pane ySplit="2" topLeftCell="A7" activePane="bottomLeft" state="frozen"/>
      <selection pane="bottomLeft" activeCell="H62" sqref="H62"/>
    </sheetView>
  </sheetViews>
  <sheetFormatPr defaultColWidth="8.5703125" defaultRowHeight="15" x14ac:dyDescent="0.25"/>
  <cols>
    <col min="1" max="1" width="24.7109375" customWidth="1"/>
    <col min="2" max="2" width="45.7109375" customWidth="1"/>
    <col min="3" max="3" width="34.28515625" customWidth="1"/>
    <col min="4" max="4" width="32.42578125" customWidth="1"/>
    <col min="5" max="5" width="15.28515625" customWidth="1"/>
    <col min="6" max="6" width="28.5703125" customWidth="1"/>
  </cols>
  <sheetData>
    <row r="1" spans="1:6" ht="27.75" customHeight="1" x14ac:dyDescent="0.25">
      <c r="A1" s="4" t="s">
        <v>0</v>
      </c>
      <c r="B1" s="4"/>
      <c r="C1" s="4"/>
      <c r="D1" s="4"/>
      <c r="E1" s="4"/>
      <c r="F1" s="4"/>
    </row>
    <row r="2" spans="1:6" ht="27.75" customHeight="1" x14ac:dyDescent="0.25">
      <c r="A2" s="3" t="s">
        <v>1</v>
      </c>
      <c r="B2" s="3"/>
      <c r="C2" s="3"/>
      <c r="D2" s="3"/>
      <c r="E2" s="3"/>
      <c r="F2" s="3"/>
    </row>
    <row r="3" spans="1:6" ht="30.75" customHeight="1" x14ac:dyDescent="0.25">
      <c r="A3" s="5" t="s">
        <v>2</v>
      </c>
      <c r="B3" s="5"/>
      <c r="C3" s="5"/>
      <c r="D3" s="5"/>
      <c r="E3" s="5"/>
      <c r="F3" s="5"/>
    </row>
    <row r="4" spans="1:6" ht="18" customHeight="1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</row>
    <row r="5" spans="1:6" ht="18" customHeight="1" x14ac:dyDescent="0.25">
      <c r="A5" s="10" t="s">
        <v>9</v>
      </c>
      <c r="B5" s="11" t="s">
        <v>10</v>
      </c>
      <c r="C5" s="12" t="s">
        <v>11</v>
      </c>
      <c r="D5" s="12" t="s">
        <v>12</v>
      </c>
      <c r="E5" s="12">
        <v>2026</v>
      </c>
      <c r="F5" s="12" t="s">
        <v>13</v>
      </c>
    </row>
    <row r="6" spans="1:6" ht="18" customHeight="1" x14ac:dyDescent="0.25">
      <c r="A6" s="10" t="s">
        <v>14</v>
      </c>
      <c r="B6" s="11" t="s">
        <v>15</v>
      </c>
      <c r="C6" s="12" t="s">
        <v>16</v>
      </c>
      <c r="D6" s="12" t="s">
        <v>17</v>
      </c>
      <c r="E6" s="12">
        <v>2026</v>
      </c>
      <c r="F6" s="12" t="s">
        <v>18</v>
      </c>
    </row>
    <row r="7" spans="1:6" ht="18" customHeight="1" x14ac:dyDescent="0.25">
      <c r="A7" s="10" t="s">
        <v>19</v>
      </c>
      <c r="B7" s="11" t="s">
        <v>20</v>
      </c>
      <c r="C7" s="12" t="s">
        <v>21</v>
      </c>
      <c r="D7" s="12" t="s">
        <v>22</v>
      </c>
      <c r="E7" s="12">
        <v>2026</v>
      </c>
      <c r="F7" s="12" t="s">
        <v>23</v>
      </c>
    </row>
    <row r="8" spans="1:6" ht="18" customHeight="1" x14ac:dyDescent="0.25">
      <c r="A8" s="10" t="s">
        <v>24</v>
      </c>
      <c r="B8" s="11" t="s">
        <v>25</v>
      </c>
      <c r="C8" s="12" t="s">
        <v>26</v>
      </c>
      <c r="D8" s="12" t="s">
        <v>27</v>
      </c>
      <c r="E8" s="12">
        <v>2026</v>
      </c>
      <c r="F8" s="12" t="s">
        <v>28</v>
      </c>
    </row>
    <row r="9" spans="1:6" ht="30.75" customHeight="1" x14ac:dyDescent="0.25">
      <c r="A9" s="5" t="s">
        <v>29</v>
      </c>
      <c r="B9" s="5"/>
      <c r="C9" s="5"/>
      <c r="D9" s="5"/>
      <c r="E9" s="5"/>
      <c r="F9" s="5"/>
    </row>
    <row r="10" spans="1:6" ht="18" customHeight="1" x14ac:dyDescent="0.25">
      <c r="A10" s="9" t="s">
        <v>3</v>
      </c>
      <c r="B10" s="9" t="s">
        <v>4</v>
      </c>
      <c r="C10" s="9" t="s">
        <v>5</v>
      </c>
      <c r="D10" s="9" t="s">
        <v>6</v>
      </c>
      <c r="E10" s="9" t="s">
        <v>7</v>
      </c>
      <c r="F10" s="9" t="s">
        <v>8</v>
      </c>
    </row>
    <row r="11" spans="1:6" ht="18" customHeight="1" x14ac:dyDescent="0.25">
      <c r="A11" s="10" t="s">
        <v>30</v>
      </c>
      <c r="B11" s="11" t="s">
        <v>31</v>
      </c>
      <c r="C11" s="12" t="s">
        <v>32</v>
      </c>
      <c r="D11" s="12" t="s">
        <v>33</v>
      </c>
      <c r="E11" s="12">
        <v>2026</v>
      </c>
      <c r="F11" s="12" t="s">
        <v>34</v>
      </c>
    </row>
    <row r="12" spans="1:6" ht="18" customHeight="1" x14ac:dyDescent="0.25">
      <c r="A12" s="10" t="s">
        <v>35</v>
      </c>
      <c r="B12" s="11" t="s">
        <v>36</v>
      </c>
      <c r="C12" s="12" t="s">
        <v>37</v>
      </c>
      <c r="D12" s="12" t="s">
        <v>33</v>
      </c>
      <c r="E12" s="12">
        <v>2026</v>
      </c>
      <c r="F12" s="12" t="s">
        <v>38</v>
      </c>
    </row>
    <row r="13" spans="1:6" ht="18" customHeight="1" x14ac:dyDescent="0.25">
      <c r="A13" s="10" t="s">
        <v>39</v>
      </c>
      <c r="B13" s="11" t="s">
        <v>40</v>
      </c>
      <c r="C13" s="12" t="s">
        <v>41</v>
      </c>
      <c r="D13" s="12" t="s">
        <v>42</v>
      </c>
      <c r="E13" s="12">
        <v>2026</v>
      </c>
      <c r="F13" s="12" t="s">
        <v>43</v>
      </c>
    </row>
    <row r="14" spans="1:6" ht="18" customHeight="1" x14ac:dyDescent="0.25">
      <c r="A14" s="10" t="s">
        <v>44</v>
      </c>
      <c r="B14" s="11" t="s">
        <v>45</v>
      </c>
      <c r="C14" s="12" t="s">
        <v>46</v>
      </c>
      <c r="D14" s="12" t="s">
        <v>47</v>
      </c>
      <c r="E14" s="12">
        <v>2026</v>
      </c>
      <c r="F14" s="12" t="s">
        <v>48</v>
      </c>
    </row>
    <row r="15" spans="1:6" ht="18" customHeight="1" x14ac:dyDescent="0.25">
      <c r="A15" s="10" t="s">
        <v>49</v>
      </c>
      <c r="B15" s="11" t="s">
        <v>50</v>
      </c>
      <c r="C15" s="12" t="s">
        <v>51</v>
      </c>
      <c r="D15" s="12" t="s">
        <v>52</v>
      </c>
      <c r="E15" s="12">
        <v>2026</v>
      </c>
      <c r="F15" s="12" t="s">
        <v>53</v>
      </c>
    </row>
    <row r="16" spans="1:6" ht="18" customHeight="1" x14ac:dyDescent="0.25">
      <c r="A16" s="10" t="s">
        <v>54</v>
      </c>
      <c r="B16" s="11" t="s">
        <v>55</v>
      </c>
      <c r="C16" s="12" t="s">
        <v>56</v>
      </c>
      <c r="D16" s="12" t="s">
        <v>27</v>
      </c>
      <c r="E16" s="12">
        <v>2026</v>
      </c>
      <c r="F16" s="12" t="s">
        <v>57</v>
      </c>
    </row>
    <row r="17" spans="1:6" ht="30.75" customHeight="1" x14ac:dyDescent="0.25">
      <c r="A17" s="5" t="s">
        <v>58</v>
      </c>
      <c r="B17" s="5"/>
      <c r="C17" s="5"/>
      <c r="D17" s="5"/>
      <c r="E17" s="5"/>
      <c r="F17" s="5"/>
    </row>
    <row r="18" spans="1:6" ht="18" customHeight="1" x14ac:dyDescent="0.25">
      <c r="A18" s="9" t="s">
        <v>3</v>
      </c>
      <c r="B18" s="9" t="s">
        <v>4</v>
      </c>
      <c r="C18" s="9" t="s">
        <v>5</v>
      </c>
      <c r="D18" s="9" t="s">
        <v>6</v>
      </c>
      <c r="E18" s="9" t="s">
        <v>7</v>
      </c>
      <c r="F18" s="9" t="s">
        <v>8</v>
      </c>
    </row>
    <row r="19" spans="1:6" ht="18" customHeight="1" x14ac:dyDescent="0.25">
      <c r="A19" s="10" t="s">
        <v>59</v>
      </c>
      <c r="B19" s="11" t="s">
        <v>60</v>
      </c>
      <c r="C19" s="12" t="s">
        <v>61</v>
      </c>
      <c r="D19" s="12" t="s">
        <v>62</v>
      </c>
      <c r="E19" s="12">
        <v>2026</v>
      </c>
      <c r="F19" s="12" t="s">
        <v>63</v>
      </c>
    </row>
    <row r="20" spans="1:6" ht="18" customHeight="1" x14ac:dyDescent="0.25">
      <c r="A20" s="10" t="s">
        <v>64</v>
      </c>
      <c r="B20" s="11" t="s">
        <v>65</v>
      </c>
      <c r="C20" s="12" t="s">
        <v>66</v>
      </c>
      <c r="D20" s="12" t="s">
        <v>27</v>
      </c>
      <c r="E20" s="12">
        <v>2026</v>
      </c>
      <c r="F20" s="12" t="s">
        <v>67</v>
      </c>
    </row>
    <row r="21" spans="1:6" ht="18" customHeight="1" x14ac:dyDescent="0.25">
      <c r="A21" s="10" t="s">
        <v>68</v>
      </c>
      <c r="B21" s="11" t="s">
        <v>69</v>
      </c>
      <c r="C21" s="12" t="s">
        <v>70</v>
      </c>
      <c r="D21" s="12" t="s">
        <v>27</v>
      </c>
      <c r="E21" s="12">
        <v>2026</v>
      </c>
      <c r="F21" s="12" t="s">
        <v>71</v>
      </c>
    </row>
    <row r="22" spans="1:6" ht="30.75" customHeight="1" x14ac:dyDescent="0.25">
      <c r="A22" s="5" t="s">
        <v>72</v>
      </c>
      <c r="B22" s="5"/>
      <c r="C22" s="5"/>
      <c r="D22" s="5"/>
      <c r="E22" s="5"/>
      <c r="F22" s="5"/>
    </row>
    <row r="23" spans="1:6" ht="18" customHeight="1" x14ac:dyDescent="0.25">
      <c r="A23" s="9" t="s">
        <v>3</v>
      </c>
      <c r="B23" s="9" t="s">
        <v>4</v>
      </c>
      <c r="C23" s="9" t="s">
        <v>5</v>
      </c>
      <c r="D23" s="9" t="s">
        <v>6</v>
      </c>
      <c r="E23" s="9" t="s">
        <v>7</v>
      </c>
      <c r="F23" s="9" t="s">
        <v>8</v>
      </c>
    </row>
    <row r="24" spans="1:6" ht="18" customHeight="1" x14ac:dyDescent="0.25">
      <c r="A24" s="13" t="s">
        <v>73</v>
      </c>
      <c r="B24" s="13" t="s">
        <v>74</v>
      </c>
      <c r="C24" s="13" t="s">
        <v>75</v>
      </c>
      <c r="D24" s="13" t="s">
        <v>76</v>
      </c>
      <c r="E24" s="13" t="s">
        <v>77</v>
      </c>
      <c r="F24" s="13" t="s">
        <v>78</v>
      </c>
    </row>
    <row r="25" spans="1:6" ht="18" customHeight="1" x14ac:dyDescent="0.25">
      <c r="A25" s="12" t="s">
        <v>79</v>
      </c>
      <c r="B25" s="12" t="s">
        <v>80</v>
      </c>
      <c r="C25" s="12" t="s">
        <v>81</v>
      </c>
      <c r="D25" s="12" t="s">
        <v>82</v>
      </c>
      <c r="E25" s="12" t="s">
        <v>83</v>
      </c>
      <c r="F25" s="12" t="s">
        <v>84</v>
      </c>
    </row>
    <row r="26" spans="1:6" ht="18" customHeight="1" x14ac:dyDescent="0.25">
      <c r="A26" s="12" t="s">
        <v>85</v>
      </c>
      <c r="B26" s="12" t="s">
        <v>86</v>
      </c>
      <c r="C26" s="12" t="s">
        <v>87</v>
      </c>
      <c r="D26" s="12" t="s">
        <v>82</v>
      </c>
      <c r="E26" s="12" t="s">
        <v>88</v>
      </c>
      <c r="F26" s="12" t="s">
        <v>89</v>
      </c>
    </row>
    <row r="27" spans="1:6" ht="18" customHeight="1" x14ac:dyDescent="0.25">
      <c r="A27" s="12" t="s">
        <v>90</v>
      </c>
      <c r="B27" s="12" t="s">
        <v>91</v>
      </c>
      <c r="C27" s="12" t="s">
        <v>92</v>
      </c>
      <c r="D27" s="12" t="s">
        <v>82</v>
      </c>
      <c r="E27" s="12" t="s">
        <v>93</v>
      </c>
      <c r="F27" s="12"/>
    </row>
    <row r="28" spans="1:6" ht="18" customHeight="1" x14ac:dyDescent="0.25">
      <c r="A28" s="12" t="s">
        <v>94</v>
      </c>
      <c r="B28" s="12" t="s">
        <v>95</v>
      </c>
      <c r="C28" s="12" t="s">
        <v>96</v>
      </c>
      <c r="D28" s="12" t="s">
        <v>82</v>
      </c>
      <c r="E28" s="12" t="s">
        <v>97</v>
      </c>
      <c r="F28" s="12"/>
    </row>
    <row r="29" spans="1:6" ht="18" customHeight="1" x14ac:dyDescent="0.25">
      <c r="A29" s="12" t="s">
        <v>98</v>
      </c>
      <c r="B29" s="12" t="s">
        <v>99</v>
      </c>
      <c r="C29" s="12" t="s">
        <v>100</v>
      </c>
      <c r="D29" s="12" t="s">
        <v>82</v>
      </c>
      <c r="E29" s="12" t="s">
        <v>101</v>
      </c>
      <c r="F29" s="12"/>
    </row>
    <row r="30" spans="1:6" ht="18" customHeight="1" x14ac:dyDescent="0.25">
      <c r="A30" s="12" t="s">
        <v>102</v>
      </c>
      <c r="B30" s="12" t="s">
        <v>103</v>
      </c>
      <c r="C30" s="12" t="s">
        <v>104</v>
      </c>
      <c r="D30" s="12" t="s">
        <v>82</v>
      </c>
      <c r="E30" s="12" t="s">
        <v>105</v>
      </c>
      <c r="F30" s="12"/>
    </row>
    <row r="31" spans="1:6" ht="18" customHeight="1" x14ac:dyDescent="0.25">
      <c r="A31" s="12" t="s">
        <v>106</v>
      </c>
      <c r="B31" s="12" t="s">
        <v>107</v>
      </c>
      <c r="C31" s="12" t="s">
        <v>108</v>
      </c>
      <c r="D31" s="12" t="s">
        <v>82</v>
      </c>
      <c r="E31" s="12" t="s">
        <v>109</v>
      </c>
      <c r="F31" s="12"/>
    </row>
    <row r="32" spans="1:6" ht="18" customHeight="1" x14ac:dyDescent="0.25">
      <c r="A32" s="12" t="s">
        <v>110</v>
      </c>
      <c r="B32" s="12" t="s">
        <v>111</v>
      </c>
      <c r="C32" s="12" t="s">
        <v>112</v>
      </c>
      <c r="D32" s="12" t="s">
        <v>82</v>
      </c>
      <c r="E32" s="12" t="s">
        <v>113</v>
      </c>
      <c r="F32" s="12"/>
    </row>
    <row r="33" spans="1:6" ht="18" customHeight="1" x14ac:dyDescent="0.25">
      <c r="A33" s="12" t="s">
        <v>114</v>
      </c>
      <c r="B33" s="12" t="s">
        <v>115</v>
      </c>
      <c r="C33" s="12" t="s">
        <v>116</v>
      </c>
      <c r="D33" s="12" t="s">
        <v>117</v>
      </c>
      <c r="E33" s="12" t="s">
        <v>118</v>
      </c>
      <c r="F33" s="12" t="s">
        <v>119</v>
      </c>
    </row>
    <row r="34" spans="1:6" ht="18" customHeight="1" x14ac:dyDescent="0.25">
      <c r="A34" s="12" t="s">
        <v>120</v>
      </c>
      <c r="B34" s="12" t="s">
        <v>121</v>
      </c>
      <c r="C34" s="12" t="s">
        <v>122</v>
      </c>
      <c r="D34" s="12" t="s">
        <v>117</v>
      </c>
      <c r="E34" s="12" t="s">
        <v>123</v>
      </c>
      <c r="F34" s="12" t="s">
        <v>124</v>
      </c>
    </row>
    <row r="35" spans="1:6" ht="18" customHeight="1" x14ac:dyDescent="0.25">
      <c r="A35" s="12" t="s">
        <v>125</v>
      </c>
      <c r="B35" s="12" t="s">
        <v>126</v>
      </c>
      <c r="C35" s="12" t="s">
        <v>127</v>
      </c>
      <c r="D35" s="12" t="s">
        <v>117</v>
      </c>
      <c r="E35" s="12" t="s">
        <v>128</v>
      </c>
      <c r="F35" s="12"/>
    </row>
    <row r="36" spans="1:6" ht="18" customHeight="1" x14ac:dyDescent="0.25">
      <c r="A36" s="12" t="s">
        <v>129</v>
      </c>
      <c r="B36" s="12" t="s">
        <v>130</v>
      </c>
      <c r="C36" s="12" t="s">
        <v>131</v>
      </c>
      <c r="D36" s="12" t="s">
        <v>117</v>
      </c>
      <c r="E36" s="12" t="s">
        <v>132</v>
      </c>
      <c r="F36" s="12"/>
    </row>
    <row r="37" spans="1:6" ht="18" customHeight="1" x14ac:dyDescent="0.25">
      <c r="A37" s="12" t="s">
        <v>133</v>
      </c>
      <c r="B37" s="12" t="s">
        <v>134</v>
      </c>
      <c r="C37" s="12" t="s">
        <v>135</v>
      </c>
      <c r="D37" s="12" t="s">
        <v>136</v>
      </c>
      <c r="E37" s="12" t="s">
        <v>137</v>
      </c>
      <c r="F37" s="12" t="s">
        <v>138</v>
      </c>
    </row>
    <row r="38" spans="1:6" ht="18" customHeight="1" x14ac:dyDescent="0.25">
      <c r="A38" s="12" t="s">
        <v>139</v>
      </c>
      <c r="B38" s="12" t="s">
        <v>140</v>
      </c>
      <c r="C38" s="12" t="s">
        <v>141</v>
      </c>
      <c r="D38" s="12" t="s">
        <v>136</v>
      </c>
      <c r="E38" s="12" t="s">
        <v>142</v>
      </c>
      <c r="F38" s="12"/>
    </row>
    <row r="39" spans="1:6" ht="18" customHeight="1" x14ac:dyDescent="0.25">
      <c r="A39" s="12" t="s">
        <v>143</v>
      </c>
      <c r="B39" s="12" t="s">
        <v>144</v>
      </c>
      <c r="C39" s="12" t="s">
        <v>145</v>
      </c>
      <c r="D39" s="12" t="s">
        <v>136</v>
      </c>
      <c r="E39" s="12" t="s">
        <v>146</v>
      </c>
      <c r="F39" s="12"/>
    </row>
    <row r="40" spans="1:6" ht="18" customHeight="1" x14ac:dyDescent="0.25">
      <c r="A40" s="12" t="s">
        <v>147</v>
      </c>
      <c r="B40" s="12" t="s">
        <v>148</v>
      </c>
      <c r="C40" s="12" t="s">
        <v>149</v>
      </c>
      <c r="D40" s="12" t="s">
        <v>136</v>
      </c>
      <c r="E40" s="12" t="s">
        <v>150</v>
      </c>
      <c r="F40" s="12"/>
    </row>
    <row r="41" spans="1:6" ht="18" customHeight="1" x14ac:dyDescent="0.25">
      <c r="A41" s="12" t="s">
        <v>151</v>
      </c>
      <c r="B41" s="12" t="s">
        <v>152</v>
      </c>
      <c r="C41" s="12" t="s">
        <v>153</v>
      </c>
      <c r="D41" s="12" t="s">
        <v>136</v>
      </c>
      <c r="E41" s="12" t="s">
        <v>118</v>
      </c>
      <c r="F41" s="12" t="s">
        <v>154</v>
      </c>
    </row>
    <row r="42" spans="1:6" ht="18" customHeight="1" x14ac:dyDescent="0.25">
      <c r="A42" s="12" t="s">
        <v>155</v>
      </c>
      <c r="B42" s="12" t="s">
        <v>156</v>
      </c>
      <c r="C42" s="12" t="s">
        <v>157</v>
      </c>
      <c r="D42" s="12" t="s">
        <v>136</v>
      </c>
      <c r="E42" s="12" t="s">
        <v>123</v>
      </c>
      <c r="F42" s="12"/>
    </row>
    <row r="43" spans="1:6" ht="18" customHeight="1" x14ac:dyDescent="0.25">
      <c r="A43" s="12" t="s">
        <v>158</v>
      </c>
      <c r="B43" s="12" t="s">
        <v>159</v>
      </c>
      <c r="C43" s="12" t="s">
        <v>160</v>
      </c>
      <c r="D43" s="12" t="s">
        <v>136</v>
      </c>
      <c r="E43" s="12" t="s">
        <v>128</v>
      </c>
      <c r="F43" s="12"/>
    </row>
    <row r="44" spans="1:6" ht="18" customHeight="1" x14ac:dyDescent="0.25">
      <c r="A44" s="12" t="s">
        <v>161</v>
      </c>
      <c r="B44" s="12" t="s">
        <v>162</v>
      </c>
      <c r="C44" s="12" t="s">
        <v>163</v>
      </c>
      <c r="D44" s="12" t="s">
        <v>164</v>
      </c>
      <c r="E44" s="12" t="s">
        <v>165</v>
      </c>
      <c r="F44" s="12" t="s">
        <v>166</v>
      </c>
    </row>
    <row r="45" spans="1:6" ht="18" customHeight="1" x14ac:dyDescent="0.25">
      <c r="A45" s="12" t="s">
        <v>167</v>
      </c>
      <c r="B45" s="12" t="s">
        <v>168</v>
      </c>
      <c r="C45" s="12" t="s">
        <v>169</v>
      </c>
      <c r="D45" s="12" t="s">
        <v>164</v>
      </c>
      <c r="E45" s="12" t="s">
        <v>170</v>
      </c>
      <c r="F45" s="12"/>
    </row>
    <row r="46" spans="1:6" ht="18" customHeight="1" x14ac:dyDescent="0.25">
      <c r="A46" s="12" t="s">
        <v>171</v>
      </c>
      <c r="B46" s="12" t="s">
        <v>172</v>
      </c>
      <c r="C46" s="12" t="s">
        <v>173</v>
      </c>
      <c r="D46" s="12" t="s">
        <v>174</v>
      </c>
      <c r="E46" s="12" t="s">
        <v>175</v>
      </c>
      <c r="F46" s="12" t="s">
        <v>176</v>
      </c>
    </row>
    <row r="47" spans="1:6" ht="18" customHeight="1" x14ac:dyDescent="0.25">
      <c r="A47" s="12" t="s">
        <v>177</v>
      </c>
      <c r="B47" s="12" t="s">
        <v>178</v>
      </c>
      <c r="C47" s="12" t="s">
        <v>179</v>
      </c>
      <c r="D47" s="12" t="s">
        <v>180</v>
      </c>
      <c r="E47" s="12" t="s">
        <v>181</v>
      </c>
      <c r="F47" s="12" t="s">
        <v>182</v>
      </c>
    </row>
    <row r="48" spans="1:6" ht="30.75" customHeight="1" x14ac:dyDescent="0.25">
      <c r="A48" s="5" t="s">
        <v>183</v>
      </c>
      <c r="B48" s="5"/>
      <c r="C48" s="5"/>
      <c r="D48" s="5"/>
      <c r="E48" s="5"/>
      <c r="F48" s="5"/>
    </row>
    <row r="49" spans="1:6" ht="18" customHeight="1" x14ac:dyDescent="0.25">
      <c r="A49" s="9" t="s">
        <v>3</v>
      </c>
      <c r="B49" s="9" t="s">
        <v>4</v>
      </c>
      <c r="C49" s="9" t="s">
        <v>5</v>
      </c>
      <c r="D49" s="9" t="s">
        <v>6</v>
      </c>
      <c r="E49" s="9" t="s">
        <v>7</v>
      </c>
      <c r="F49" s="9" t="s">
        <v>8</v>
      </c>
    </row>
    <row r="50" spans="1:6" ht="18" customHeight="1" x14ac:dyDescent="0.25">
      <c r="A50" s="10" t="s">
        <v>184</v>
      </c>
      <c r="B50" s="11" t="s">
        <v>63</v>
      </c>
      <c r="C50" s="12" t="s">
        <v>185</v>
      </c>
      <c r="D50" s="12" t="s">
        <v>47</v>
      </c>
      <c r="E50" s="12">
        <v>2026</v>
      </c>
      <c r="F50" s="12" t="s">
        <v>186</v>
      </c>
    </row>
    <row r="51" spans="1:6" ht="18" customHeight="1" x14ac:dyDescent="0.25">
      <c r="A51" s="10" t="s">
        <v>187</v>
      </c>
      <c r="B51" s="11" t="s">
        <v>188</v>
      </c>
      <c r="C51" s="12" t="s">
        <v>189</v>
      </c>
      <c r="D51" s="12" t="s">
        <v>190</v>
      </c>
      <c r="E51" s="12">
        <v>2026</v>
      </c>
      <c r="F51" s="12" t="s">
        <v>186</v>
      </c>
    </row>
    <row r="52" spans="1:6" ht="18" customHeight="1" x14ac:dyDescent="0.25">
      <c r="A52" s="10" t="s">
        <v>191</v>
      </c>
      <c r="B52" s="11" t="s">
        <v>192</v>
      </c>
      <c r="C52" s="12" t="s">
        <v>193</v>
      </c>
      <c r="D52" s="12" t="s">
        <v>190</v>
      </c>
      <c r="E52" s="12">
        <v>2026</v>
      </c>
      <c r="F52" s="12" t="s">
        <v>194</v>
      </c>
    </row>
    <row r="53" spans="1:6" ht="18" customHeight="1" x14ac:dyDescent="0.25">
      <c r="A53" s="10" t="s">
        <v>195</v>
      </c>
      <c r="B53" s="11" t="s">
        <v>196</v>
      </c>
      <c r="C53" s="12" t="s">
        <v>197</v>
      </c>
      <c r="D53" s="12" t="s">
        <v>47</v>
      </c>
      <c r="E53" s="12">
        <v>2026</v>
      </c>
      <c r="F53" s="12" t="s">
        <v>194</v>
      </c>
    </row>
    <row r="54" spans="1:6" ht="18" customHeight="1" x14ac:dyDescent="0.25">
      <c r="A54" s="10" t="s">
        <v>198</v>
      </c>
      <c r="B54" s="11" t="s">
        <v>199</v>
      </c>
      <c r="C54" s="12" t="s">
        <v>200</v>
      </c>
      <c r="D54" s="12" t="s">
        <v>201</v>
      </c>
      <c r="E54" s="12">
        <v>2026</v>
      </c>
      <c r="F54" s="12" t="s">
        <v>186</v>
      </c>
    </row>
    <row r="55" spans="1:6" ht="30.75" customHeight="1" x14ac:dyDescent="0.25">
      <c r="A55" s="5" t="s">
        <v>202</v>
      </c>
      <c r="B55" s="5"/>
      <c r="C55" s="5"/>
      <c r="D55" s="5"/>
      <c r="E55" s="5"/>
      <c r="F55" s="5"/>
    </row>
    <row r="56" spans="1:6" ht="18" customHeight="1" x14ac:dyDescent="0.25">
      <c r="A56" s="9" t="s">
        <v>3</v>
      </c>
      <c r="B56" s="9" t="s">
        <v>4</v>
      </c>
      <c r="C56" s="9" t="s">
        <v>5</v>
      </c>
      <c r="D56" s="9" t="s">
        <v>6</v>
      </c>
      <c r="E56" s="9" t="s">
        <v>7</v>
      </c>
      <c r="F56" s="9" t="s">
        <v>8</v>
      </c>
    </row>
    <row r="57" spans="1:6" ht="18" customHeight="1" x14ac:dyDescent="0.25">
      <c r="A57" s="10" t="s">
        <v>203</v>
      </c>
      <c r="B57" s="11" t="s">
        <v>204</v>
      </c>
      <c r="C57" s="12" t="s">
        <v>205</v>
      </c>
      <c r="D57" s="12" t="s">
        <v>22</v>
      </c>
      <c r="E57" s="12">
        <v>2026</v>
      </c>
      <c r="F57" s="12" t="s">
        <v>206</v>
      </c>
    </row>
    <row r="58" spans="1:6" ht="18" customHeight="1" x14ac:dyDescent="0.25">
      <c r="A58" s="10" t="s">
        <v>207</v>
      </c>
      <c r="B58" s="11" t="s">
        <v>20</v>
      </c>
      <c r="C58" s="12" t="s">
        <v>208</v>
      </c>
      <c r="D58" s="12" t="s">
        <v>22</v>
      </c>
      <c r="E58" s="12">
        <v>2026</v>
      </c>
      <c r="F58" s="12"/>
    </row>
    <row r="59" spans="1:6" ht="18" customHeight="1" x14ac:dyDescent="0.25">
      <c r="A59" s="10" t="s">
        <v>209</v>
      </c>
      <c r="B59" s="11" t="s">
        <v>210</v>
      </c>
      <c r="C59" s="12" t="s">
        <v>211</v>
      </c>
      <c r="D59" s="12" t="s">
        <v>22</v>
      </c>
      <c r="E59" s="12">
        <v>2026</v>
      </c>
      <c r="F59" s="12"/>
    </row>
    <row r="60" spans="1:6" ht="18" customHeight="1" x14ac:dyDescent="0.25">
      <c r="A60" s="10" t="s">
        <v>212</v>
      </c>
      <c r="B60" s="11" t="s">
        <v>213</v>
      </c>
      <c r="C60" s="12" t="s">
        <v>214</v>
      </c>
      <c r="D60" s="12" t="s">
        <v>22</v>
      </c>
      <c r="E60" s="12">
        <v>2026</v>
      </c>
      <c r="F60" s="12"/>
    </row>
    <row r="61" spans="1:6" ht="18" customHeight="1" x14ac:dyDescent="0.25">
      <c r="A61" s="10" t="s">
        <v>215</v>
      </c>
      <c r="B61" s="11" t="s">
        <v>216</v>
      </c>
      <c r="C61" s="12" t="s">
        <v>217</v>
      </c>
      <c r="D61" s="12" t="s">
        <v>22</v>
      </c>
      <c r="E61" s="12">
        <v>2026</v>
      </c>
      <c r="F61" s="12"/>
    </row>
    <row r="62" spans="1:6" ht="18" customHeight="1" x14ac:dyDescent="0.25">
      <c r="A62" s="10" t="s">
        <v>218</v>
      </c>
      <c r="B62" s="11" t="s">
        <v>219</v>
      </c>
      <c r="C62" s="12" t="s">
        <v>218</v>
      </c>
      <c r="D62" s="12" t="s">
        <v>22</v>
      </c>
      <c r="E62" s="12">
        <v>2026</v>
      </c>
      <c r="F62" s="12"/>
    </row>
    <row r="63" spans="1:6" ht="18" customHeight="1" x14ac:dyDescent="0.25">
      <c r="A63" s="12"/>
      <c r="B63" s="12"/>
      <c r="C63" s="12"/>
      <c r="D63" s="12"/>
      <c r="E63" s="12"/>
      <c r="F63" s="12"/>
    </row>
    <row r="64" spans="1:6" ht="18" customHeight="1" x14ac:dyDescent="0.25">
      <c r="A64" s="12"/>
      <c r="B64" s="12"/>
      <c r="C64" s="12"/>
      <c r="D64" s="12"/>
      <c r="E64" s="12"/>
      <c r="F64" s="12"/>
    </row>
    <row r="65" spans="1:6" ht="18" customHeight="1" x14ac:dyDescent="0.25">
      <c r="A65" s="12"/>
      <c r="B65" s="12"/>
      <c r="C65" s="12"/>
      <c r="D65" s="12"/>
      <c r="E65" s="12"/>
      <c r="F65" s="12"/>
    </row>
    <row r="66" spans="1:6" ht="18" customHeight="1" x14ac:dyDescent="0.25">
      <c r="A66" s="12"/>
      <c r="B66" s="12"/>
      <c r="C66" s="12"/>
      <c r="D66" s="12"/>
      <c r="E66" s="12"/>
      <c r="F66" s="12"/>
    </row>
    <row r="67" spans="1:6" ht="18" customHeight="1" x14ac:dyDescent="0.25">
      <c r="A67" s="12"/>
      <c r="B67" s="12"/>
      <c r="C67" s="12"/>
      <c r="D67" s="12"/>
      <c r="E67" s="12"/>
      <c r="F67" s="12"/>
    </row>
    <row r="68" spans="1:6" ht="18" customHeight="1" x14ac:dyDescent="0.25">
      <c r="A68" s="12"/>
      <c r="B68" s="12"/>
      <c r="C68" s="12"/>
      <c r="D68" s="12"/>
      <c r="E68" s="12"/>
      <c r="F68" s="12"/>
    </row>
    <row r="69" spans="1:6" ht="18" customHeight="1" x14ac:dyDescent="0.25">
      <c r="A69" s="12"/>
      <c r="B69" s="12"/>
      <c r="C69" s="12"/>
      <c r="D69" s="12"/>
      <c r="E69" s="12"/>
      <c r="F69" s="12"/>
    </row>
    <row r="70" spans="1:6" ht="18" customHeight="1" x14ac:dyDescent="0.25">
      <c r="A70" s="12"/>
      <c r="B70" s="12"/>
      <c r="C70" s="12"/>
      <c r="D70" s="12"/>
      <c r="E70" s="12"/>
      <c r="F70" s="12"/>
    </row>
  </sheetData>
  <mergeCells count="8">
    <mergeCell ref="A22:F22"/>
    <mergeCell ref="A48:F48"/>
    <mergeCell ref="A55:F55"/>
    <mergeCell ref="A1:F1"/>
    <mergeCell ref="A2:F2"/>
    <mergeCell ref="A3:F3"/>
    <mergeCell ref="A9:F9"/>
    <mergeCell ref="A17:F17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showGridLines="0" zoomScaleNormal="100" workbookViewId="0">
      <selection activeCell="F13" sqref="F13"/>
    </sheetView>
  </sheetViews>
  <sheetFormatPr defaultColWidth="8.5703125" defaultRowHeight="15" x14ac:dyDescent="0.25"/>
  <cols>
    <col min="1" max="1" width="3.85546875" customWidth="1"/>
    <col min="2" max="2" width="32.42578125" customWidth="1"/>
    <col min="3" max="3" width="47.5703125" customWidth="1"/>
    <col min="4" max="4" width="24.7109375" customWidth="1"/>
    <col min="5" max="5" width="45.7109375" customWidth="1"/>
  </cols>
  <sheetData>
    <row r="1" spans="1:5" ht="31.5" customHeight="1" x14ac:dyDescent="0.25">
      <c r="A1" s="12"/>
      <c r="B1" s="7" t="s">
        <v>220</v>
      </c>
      <c r="C1" s="7"/>
      <c r="D1" s="7"/>
      <c r="E1" s="7"/>
    </row>
    <row r="2" spans="1:5" ht="19.5" customHeight="1" x14ac:dyDescent="0.25">
      <c r="A2" s="12"/>
      <c r="B2" s="14" t="s">
        <v>221</v>
      </c>
      <c r="C2" s="14"/>
      <c r="D2" s="14"/>
      <c r="E2" s="14"/>
    </row>
    <row r="3" spans="1:5" ht="19.5" customHeight="1" x14ac:dyDescent="0.25">
      <c r="A3" s="12"/>
      <c r="B3" s="12"/>
      <c r="C3" s="12"/>
      <c r="D3" s="12"/>
      <c r="E3" s="12"/>
    </row>
    <row r="4" spans="1:5" ht="19.5" customHeight="1" x14ac:dyDescent="0.25">
      <c r="A4" s="12"/>
      <c r="B4" s="8" t="s">
        <v>222</v>
      </c>
      <c r="C4" s="8"/>
      <c r="D4" s="8"/>
      <c r="E4" s="8"/>
    </row>
    <row r="5" spans="1:5" ht="19.5" customHeight="1" x14ac:dyDescent="0.25">
      <c r="A5" s="12"/>
      <c r="B5" s="15" t="s">
        <v>223</v>
      </c>
      <c r="C5" s="16" t="str">
        <f>Config!B5</f>
        <v>Galvanizing System</v>
      </c>
      <c r="D5" s="15" t="s">
        <v>224</v>
      </c>
      <c r="E5" s="16" t="str">
        <f>Config!B6</f>
        <v>PRJ-26001</v>
      </c>
    </row>
    <row r="6" spans="1:5" ht="19.5" customHeight="1" x14ac:dyDescent="0.25">
      <c r="A6" s="12"/>
      <c r="B6" s="17" t="s">
        <v>225</v>
      </c>
      <c r="C6" s="18" t="str">
        <f>Config!B7</f>
        <v>Howest - Cyber3Lab</v>
      </c>
      <c r="D6" s="17" t="s">
        <v>226</v>
      </c>
      <c r="E6" s="18" t="str">
        <f>Config!B8</f>
        <v>Building J - Cyber3Lab, Howest Brugge, Belgium</v>
      </c>
    </row>
    <row r="7" spans="1:5" ht="19.5" customHeight="1" x14ac:dyDescent="0.25">
      <c r="A7" s="12"/>
      <c r="B7" s="15" t="s">
        <v>227</v>
      </c>
      <c r="C7" s="16" t="str">
        <f>Config!B61</f>
        <v>Attila Peter Szucs</v>
      </c>
      <c r="D7" s="15" t="s">
        <v>228</v>
      </c>
      <c r="E7" s="16" t="str">
        <f>Config!B62</f>
        <v>Electrical / Instrumentation</v>
      </c>
    </row>
    <row r="8" spans="1:5" ht="19.5" customHeight="1" x14ac:dyDescent="0.25">
      <c r="A8" s="12"/>
      <c r="B8" s="17" t="s">
        <v>229</v>
      </c>
      <c r="C8" s="18" t="str">
        <f>Config!B57</f>
        <v>EL-PLC-001 to EL-PLC-048</v>
      </c>
      <c r="D8" s="17" t="s">
        <v>230</v>
      </c>
      <c r="E8" s="18" t="str">
        <f>Config!B11&amp;" ("&amp;Config!B12&amp;")"</f>
        <v>WAGO Compact Controller 100 (751-9402)</v>
      </c>
    </row>
    <row r="9" spans="1:5" ht="19.5" customHeight="1" x14ac:dyDescent="0.25">
      <c r="A9" s="12"/>
      <c r="B9" s="15" t="s">
        <v>231</v>
      </c>
      <c r="C9" s="16" t="str">
        <f>Config!B19</f>
        <v>24 VDC</v>
      </c>
      <c r="D9" s="15" t="s">
        <v>232</v>
      </c>
      <c r="E9" s="16" t="str">
        <f>Config!B20</f>
        <v>230 V AC, 50 Hz</v>
      </c>
    </row>
    <row r="10" spans="1:5" ht="19.5" customHeight="1" x14ac:dyDescent="0.25">
      <c r="A10" s="12"/>
      <c r="B10" s="17" t="s">
        <v>233</v>
      </c>
      <c r="C10" s="18" t="str">
        <f>Config!B21</f>
        <v>IP65 (Field) / IP54 (Panel)</v>
      </c>
      <c r="D10" s="17" t="s">
        <v>234</v>
      </c>
      <c r="E10" s="18" t="s">
        <v>235</v>
      </c>
    </row>
    <row r="11" spans="1:5" ht="19.5" customHeight="1" x14ac:dyDescent="0.25">
      <c r="A11" s="12"/>
      <c r="B11" s="15" t="s">
        <v>236</v>
      </c>
      <c r="C11" s="16" t="str">
        <f>Config!B58</f>
        <v>Howest - Cyber3Lab</v>
      </c>
      <c r="D11" s="15" t="s">
        <v>237</v>
      </c>
      <c r="E11" s="16"/>
    </row>
    <row r="12" spans="1:5" ht="19.5" customHeight="1" x14ac:dyDescent="0.25">
      <c r="A12" s="12"/>
      <c r="B12" s="17" t="s">
        <v>238</v>
      </c>
      <c r="C12" s="18" t="str">
        <f>Config!B59</f>
        <v>Laurens Singier</v>
      </c>
      <c r="D12" s="17" t="s">
        <v>239</v>
      </c>
      <c r="E12" s="18" t="str">
        <f>Config!B60</f>
        <v>REV A - Issued for Construction</v>
      </c>
    </row>
    <row r="13" spans="1:5" ht="19.5" customHeight="1" x14ac:dyDescent="0.25">
      <c r="A13" s="12"/>
      <c r="B13" s="12"/>
      <c r="C13" s="12"/>
      <c r="D13" s="12"/>
      <c r="E13" s="12"/>
    </row>
    <row r="14" spans="1:5" ht="19.5" customHeight="1" x14ac:dyDescent="0.25">
      <c r="A14" s="12"/>
      <c r="B14" s="8" t="s">
        <v>240</v>
      </c>
      <c r="C14" s="8"/>
      <c r="D14" s="8"/>
      <c r="E14" s="8"/>
    </row>
    <row r="15" spans="1:5" ht="18" customHeight="1" x14ac:dyDescent="0.25">
      <c r="A15" s="12"/>
      <c r="B15" s="9" t="s">
        <v>241</v>
      </c>
      <c r="C15" s="9" t="s">
        <v>242</v>
      </c>
      <c r="D15" s="9" t="s">
        <v>243</v>
      </c>
      <c r="E15" s="9" t="s">
        <v>244</v>
      </c>
    </row>
    <row r="16" spans="1:5" ht="26.25" customHeight="1" x14ac:dyDescent="0.25">
      <c r="A16" s="12"/>
      <c r="B16" s="19" t="s">
        <v>22</v>
      </c>
      <c r="C16" s="19" t="s">
        <v>245</v>
      </c>
      <c r="D16" s="19" t="s">
        <v>246</v>
      </c>
      <c r="E16" s="19"/>
    </row>
    <row r="17" spans="1:5" ht="26.25" customHeight="1" x14ac:dyDescent="0.25">
      <c r="A17" s="12"/>
      <c r="B17" s="20" t="s">
        <v>247</v>
      </c>
      <c r="C17" s="20" t="s">
        <v>247</v>
      </c>
      <c r="D17" s="20" t="s">
        <v>248</v>
      </c>
      <c r="E17" s="20"/>
    </row>
    <row r="18" spans="1:5" ht="26.25" customHeight="1" x14ac:dyDescent="0.25">
      <c r="A18" s="12"/>
      <c r="B18" s="19" t="s">
        <v>249</v>
      </c>
      <c r="C18" s="19" t="s">
        <v>250</v>
      </c>
      <c r="D18" s="19" t="s">
        <v>251</v>
      </c>
      <c r="E18" s="19"/>
    </row>
    <row r="19" spans="1:5" ht="26.25" customHeight="1" x14ac:dyDescent="0.25">
      <c r="A19" s="12"/>
      <c r="B19" s="20" t="s">
        <v>252</v>
      </c>
      <c r="C19" s="20" t="s">
        <v>252</v>
      </c>
      <c r="D19" s="20" t="s">
        <v>253</v>
      </c>
      <c r="E19" s="20"/>
    </row>
    <row r="20" spans="1:5" ht="26.25" customHeight="1" x14ac:dyDescent="0.25">
      <c r="A20" s="12"/>
      <c r="B20" s="19" t="s">
        <v>254</v>
      </c>
      <c r="C20" s="19" t="s">
        <v>254</v>
      </c>
      <c r="D20" s="19" t="s">
        <v>255</v>
      </c>
      <c r="E20" s="19"/>
    </row>
    <row r="21" spans="1:5" ht="26.25" customHeight="1" x14ac:dyDescent="0.25">
      <c r="A21" s="12"/>
      <c r="B21" s="20" t="s">
        <v>256</v>
      </c>
      <c r="C21" s="20" t="s">
        <v>257</v>
      </c>
      <c r="D21" s="20" t="s">
        <v>258</v>
      </c>
      <c r="E21" s="20"/>
    </row>
    <row r="22" spans="1:5" ht="26.25" customHeight="1" x14ac:dyDescent="0.25">
      <c r="A22" s="12"/>
      <c r="B22" s="12"/>
      <c r="C22" s="12"/>
      <c r="D22" s="12"/>
      <c r="E22" s="12"/>
    </row>
    <row r="23" spans="1:5" ht="19.5" customHeight="1" x14ac:dyDescent="0.25">
      <c r="A23" s="12"/>
      <c r="B23" s="8" t="s">
        <v>259</v>
      </c>
      <c r="C23" s="8"/>
      <c r="D23" s="8"/>
      <c r="E23" s="8"/>
    </row>
    <row r="24" spans="1:5" ht="42.75" customHeight="1" x14ac:dyDescent="0.25">
      <c r="A24" s="12"/>
      <c r="B24" s="19" t="s">
        <v>260</v>
      </c>
      <c r="C24" s="19"/>
      <c r="D24" s="19"/>
      <c r="E24" s="19"/>
    </row>
    <row r="25" spans="1:5" ht="42.75" customHeight="1" x14ac:dyDescent="0.25">
      <c r="A25" s="12"/>
      <c r="B25" s="21" t="s">
        <v>261</v>
      </c>
      <c r="C25" s="21"/>
      <c r="D25" s="21"/>
      <c r="E25" s="21"/>
    </row>
    <row r="26" spans="1:5" ht="42.75" customHeight="1" x14ac:dyDescent="0.25">
      <c r="A26" s="12"/>
      <c r="B26" s="19" t="s">
        <v>262</v>
      </c>
      <c r="C26" s="19"/>
      <c r="D26" s="19"/>
      <c r="E26" s="19"/>
    </row>
    <row r="27" spans="1:5" ht="42.75" customHeight="1" x14ac:dyDescent="0.25">
      <c r="A27" s="12"/>
      <c r="B27" s="21" t="s">
        <v>263</v>
      </c>
      <c r="C27" s="21"/>
      <c r="D27" s="21"/>
      <c r="E27" s="21"/>
    </row>
    <row r="28" spans="1:5" ht="42.75" customHeight="1" x14ac:dyDescent="0.25">
      <c r="A28" s="12"/>
      <c r="B28" s="19" t="s">
        <v>264</v>
      </c>
      <c r="C28" s="19"/>
      <c r="D28" s="19"/>
      <c r="E28" s="19"/>
    </row>
    <row r="29" spans="1:5" ht="42.75" customHeight="1" x14ac:dyDescent="0.25">
      <c r="A29" s="12"/>
      <c r="B29" s="21" t="s">
        <v>265</v>
      </c>
      <c r="C29" s="21"/>
      <c r="D29" s="21"/>
      <c r="E29" s="21"/>
    </row>
    <row r="30" spans="1:5" ht="42.75" customHeight="1" x14ac:dyDescent="0.25">
      <c r="A30" s="12"/>
      <c r="B30" s="19" t="s">
        <v>266</v>
      </c>
      <c r="C30" s="19"/>
      <c r="D30" s="19"/>
      <c r="E30" s="19"/>
    </row>
    <row r="31" spans="1:5" ht="14.25" customHeight="1" x14ac:dyDescent="0.25">
      <c r="A31" s="12"/>
      <c r="B31" s="21"/>
      <c r="C31" s="21"/>
      <c r="D31" s="21"/>
      <c r="E31" s="21"/>
    </row>
    <row r="32" spans="1:5" x14ac:dyDescent="0.25">
      <c r="A32" s="12"/>
      <c r="B32" s="12"/>
      <c r="C32" s="12"/>
      <c r="D32" s="12"/>
      <c r="E32" s="12"/>
    </row>
    <row r="33" spans="1:5" x14ac:dyDescent="0.25">
      <c r="A33" s="12"/>
      <c r="B33" s="12"/>
      <c r="C33" s="12"/>
      <c r="D33" s="12"/>
      <c r="E33" s="12"/>
    </row>
    <row r="34" spans="1:5" x14ac:dyDescent="0.25">
      <c r="A34" s="12"/>
      <c r="B34" s="12"/>
      <c r="C34" s="12"/>
      <c r="D34" s="12"/>
      <c r="E34" s="12"/>
    </row>
    <row r="35" spans="1:5" x14ac:dyDescent="0.25">
      <c r="A35" s="12"/>
      <c r="B35" s="12"/>
      <c r="C35" s="12"/>
      <c r="D35" s="12"/>
      <c r="E35" s="12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3"/>
  <sheetViews>
    <sheetView showGridLines="0" tabSelected="1" zoomScaleNormal="100" workbookViewId="0">
      <pane ySplit="3" topLeftCell="A4" activePane="bottomLeft" state="frozen"/>
      <selection pane="bottomLeft" activeCell="F27" sqref="F27"/>
    </sheetView>
  </sheetViews>
  <sheetFormatPr defaultColWidth="8.5703125" defaultRowHeight="15" x14ac:dyDescent="0.25"/>
  <cols>
    <col min="1" max="1" width="6.7109375" customWidth="1"/>
    <col min="2" max="2" width="13.28515625" customWidth="1"/>
    <col min="3" max="3" width="37.140625" customWidth="1"/>
    <col min="4" max="4" width="24.7109375" customWidth="1"/>
    <col min="5" max="5" width="35" customWidth="1"/>
    <col min="6" max="6" width="30.42578125" customWidth="1"/>
    <col min="7" max="7" width="24.7109375" customWidth="1"/>
    <col min="8" max="8" width="17.140625" customWidth="1"/>
    <col min="9" max="9" width="28.5703125" customWidth="1"/>
    <col min="10" max="10" width="9.5703125" customWidth="1"/>
    <col min="11" max="11" width="11.42578125" customWidth="1"/>
    <col min="12" max="12" width="15.28515625" customWidth="1"/>
    <col min="13" max="13" width="10.42578125" customWidth="1"/>
    <col min="14" max="14" width="12.42578125" customWidth="1"/>
    <col min="15" max="15" width="21" customWidth="1"/>
    <col min="16" max="16" width="14.28515625" customWidth="1"/>
    <col min="17" max="17" width="7.5703125" customWidth="1"/>
  </cols>
  <sheetData>
    <row r="1" spans="1:17" ht="25.5" customHeight="1" x14ac:dyDescent="0.25">
      <c r="A1" s="22" t="str">
        <f>"CABLE SCHEDULE — "&amp;Config!B6</f>
        <v>CABLE SCHEDULE — PRJ-26001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5.75" customHeight="1" x14ac:dyDescent="0.25">
      <c r="A2" s="23" t="str">
        <f>"Project: "&amp;Config!B6&amp;"   |   Project No: "&amp;Config!B6&amp;"   |   PLC: "&amp;Config!B11&amp;" ("&amp;Config!B12&amp;")   |   Rev: "&amp;Config!B60</f>
        <v>Project: PRJ-26001   |   Project No: PRJ-26001   |   PLC: WAGO Compact Controller 100 (751-9402)   |   Rev: REV A - Issued for Construction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30" customHeight="1" x14ac:dyDescent="0.25">
      <c r="A3" s="24" t="s">
        <v>267</v>
      </c>
      <c r="B3" s="24" t="s">
        <v>268</v>
      </c>
      <c r="C3" s="24" t="s">
        <v>269</v>
      </c>
      <c r="D3" s="24" t="s">
        <v>270</v>
      </c>
      <c r="E3" s="24" t="s">
        <v>271</v>
      </c>
      <c r="F3" s="24" t="s">
        <v>272</v>
      </c>
      <c r="G3" s="24" t="s">
        <v>273</v>
      </c>
      <c r="H3" s="24" t="s">
        <v>274</v>
      </c>
      <c r="I3" s="24" t="s">
        <v>275</v>
      </c>
      <c r="J3" s="24" t="s">
        <v>276</v>
      </c>
      <c r="K3" s="24" t="s">
        <v>277</v>
      </c>
      <c r="L3" s="24" t="s">
        <v>278</v>
      </c>
      <c r="M3" s="24" t="s">
        <v>279</v>
      </c>
      <c r="N3" s="24" t="s">
        <v>280</v>
      </c>
      <c r="O3" s="24" t="s">
        <v>281</v>
      </c>
      <c r="P3" s="24" t="s">
        <v>244</v>
      </c>
      <c r="Q3" s="24" t="s">
        <v>282</v>
      </c>
    </row>
    <row r="4" spans="1:17" ht="18" customHeight="1" x14ac:dyDescent="0.25">
      <c r="A4" s="25">
        <v>1</v>
      </c>
      <c r="B4" s="26" t="s">
        <v>283</v>
      </c>
      <c r="C4" s="26" t="s">
        <v>284</v>
      </c>
      <c r="D4" s="26" t="s">
        <v>285</v>
      </c>
      <c r="E4" s="26" t="s">
        <v>286</v>
      </c>
      <c r="F4" s="26" t="s">
        <v>287</v>
      </c>
      <c r="G4" s="26" t="s">
        <v>285</v>
      </c>
      <c r="H4" s="26" t="s">
        <v>288</v>
      </c>
      <c r="I4" s="26" t="s">
        <v>289</v>
      </c>
      <c r="J4" s="50" t="s">
        <v>290</v>
      </c>
      <c r="K4" s="26" t="s">
        <v>291</v>
      </c>
      <c r="L4" s="26" t="s">
        <v>292</v>
      </c>
      <c r="M4" s="26" t="s">
        <v>293</v>
      </c>
      <c r="N4" s="26" t="s">
        <v>294</v>
      </c>
      <c r="O4" s="26"/>
      <c r="P4" s="26" t="s">
        <v>295</v>
      </c>
      <c r="Q4" s="26" t="s">
        <v>296</v>
      </c>
    </row>
    <row r="5" spans="1:17" ht="18" customHeight="1" x14ac:dyDescent="0.25">
      <c r="A5" s="25">
        <v>2</v>
      </c>
      <c r="B5" s="26" t="s">
        <v>297</v>
      </c>
      <c r="C5" s="26" t="s">
        <v>284</v>
      </c>
      <c r="D5" s="26" t="s">
        <v>285</v>
      </c>
      <c r="E5" s="26" t="s">
        <v>288</v>
      </c>
      <c r="F5" s="26" t="s">
        <v>298</v>
      </c>
      <c r="G5" s="26" t="s">
        <v>299</v>
      </c>
      <c r="H5" s="26" t="s">
        <v>300</v>
      </c>
      <c r="I5" s="26" t="s">
        <v>289</v>
      </c>
      <c r="J5" s="50" t="s">
        <v>290</v>
      </c>
      <c r="K5" s="26" t="s">
        <v>291</v>
      </c>
      <c r="L5" s="26" t="s">
        <v>292</v>
      </c>
      <c r="M5" s="26" t="s">
        <v>293</v>
      </c>
      <c r="N5" s="26" t="s">
        <v>301</v>
      </c>
      <c r="O5" s="26"/>
      <c r="P5" s="26" t="s">
        <v>295</v>
      </c>
      <c r="Q5" s="26" t="s">
        <v>296</v>
      </c>
    </row>
    <row r="6" spans="1:17" ht="18" customHeight="1" x14ac:dyDescent="0.25">
      <c r="A6" s="25">
        <v>3</v>
      </c>
      <c r="B6" s="26" t="s">
        <v>302</v>
      </c>
      <c r="C6" s="26" t="s">
        <v>284</v>
      </c>
      <c r="D6" s="26" t="s">
        <v>285</v>
      </c>
      <c r="E6" s="26" t="s">
        <v>303</v>
      </c>
      <c r="F6" s="26" t="s">
        <v>304</v>
      </c>
      <c r="G6" s="26" t="s">
        <v>299</v>
      </c>
      <c r="H6" s="26" t="s">
        <v>300</v>
      </c>
      <c r="I6" s="26" t="s">
        <v>289</v>
      </c>
      <c r="J6" s="50" t="s">
        <v>290</v>
      </c>
      <c r="K6" s="26" t="s">
        <v>291</v>
      </c>
      <c r="L6" s="26" t="s">
        <v>292</v>
      </c>
      <c r="M6" s="26" t="s">
        <v>293</v>
      </c>
      <c r="N6" s="26" t="s">
        <v>305</v>
      </c>
      <c r="O6" s="26"/>
      <c r="P6" s="26" t="s">
        <v>295</v>
      </c>
      <c r="Q6" s="26" t="s">
        <v>296</v>
      </c>
    </row>
    <row r="7" spans="1:17" ht="18" customHeight="1" x14ac:dyDescent="0.25">
      <c r="A7" s="25">
        <v>4</v>
      </c>
      <c r="B7" s="26" t="s">
        <v>306</v>
      </c>
      <c r="C7" s="26" t="s">
        <v>284</v>
      </c>
      <c r="D7" s="26" t="s">
        <v>285</v>
      </c>
      <c r="E7" s="26" t="s">
        <v>307</v>
      </c>
      <c r="F7" s="26" t="s">
        <v>308</v>
      </c>
      <c r="G7" s="26" t="s">
        <v>285</v>
      </c>
      <c r="H7" s="26" t="s">
        <v>309</v>
      </c>
      <c r="I7" s="26" t="s">
        <v>289</v>
      </c>
      <c r="J7" s="50" t="s">
        <v>290</v>
      </c>
      <c r="K7" s="26" t="s">
        <v>291</v>
      </c>
      <c r="L7" s="26" t="s">
        <v>292</v>
      </c>
      <c r="M7" s="26" t="s">
        <v>293</v>
      </c>
      <c r="N7" s="26" t="s">
        <v>305</v>
      </c>
      <c r="O7" s="26"/>
      <c r="P7" s="26" t="s">
        <v>295</v>
      </c>
      <c r="Q7" s="26" t="s">
        <v>296</v>
      </c>
    </row>
    <row r="8" spans="1:17" ht="18" customHeight="1" x14ac:dyDescent="0.25">
      <c r="A8" s="25">
        <v>5</v>
      </c>
      <c r="B8" s="26" t="s">
        <v>310</v>
      </c>
      <c r="C8" s="26" t="s">
        <v>311</v>
      </c>
      <c r="D8" s="26" t="s">
        <v>285</v>
      </c>
      <c r="E8" s="26" t="s">
        <v>312</v>
      </c>
      <c r="F8" s="26" t="s">
        <v>313</v>
      </c>
      <c r="G8" s="26" t="s">
        <v>285</v>
      </c>
      <c r="H8" s="26" t="s">
        <v>314</v>
      </c>
      <c r="I8" s="26" t="s">
        <v>315</v>
      </c>
      <c r="J8" s="50" t="s">
        <v>316</v>
      </c>
      <c r="K8" s="26" t="s">
        <v>317</v>
      </c>
      <c r="L8" s="26" t="s">
        <v>318</v>
      </c>
      <c r="M8" s="26" t="s">
        <v>293</v>
      </c>
      <c r="N8" s="26" t="s">
        <v>301</v>
      </c>
      <c r="O8" s="26"/>
      <c r="P8" s="26" t="s">
        <v>295</v>
      </c>
      <c r="Q8" s="26" t="s">
        <v>296</v>
      </c>
    </row>
    <row r="9" spans="1:17" ht="18" customHeight="1" x14ac:dyDescent="0.25">
      <c r="A9" s="25">
        <v>6</v>
      </c>
      <c r="B9" s="26" t="s">
        <v>319</v>
      </c>
      <c r="C9" s="26" t="s">
        <v>311</v>
      </c>
      <c r="D9" s="26" t="s">
        <v>285</v>
      </c>
      <c r="E9" s="26" t="s">
        <v>320</v>
      </c>
      <c r="F9" s="26" t="s">
        <v>321</v>
      </c>
      <c r="G9" s="26" t="s">
        <v>285</v>
      </c>
      <c r="H9" s="26" t="s">
        <v>314</v>
      </c>
      <c r="I9" s="26" t="s">
        <v>315</v>
      </c>
      <c r="J9" s="50" t="s">
        <v>316</v>
      </c>
      <c r="K9" s="26" t="s">
        <v>317</v>
      </c>
      <c r="L9" s="26" t="s">
        <v>322</v>
      </c>
      <c r="M9" s="26" t="s">
        <v>293</v>
      </c>
      <c r="N9" s="26" t="s">
        <v>323</v>
      </c>
      <c r="O9" s="26"/>
      <c r="P9" s="26" t="s">
        <v>295</v>
      </c>
      <c r="Q9" s="26" t="s">
        <v>296</v>
      </c>
    </row>
    <row r="10" spans="1:17" ht="18" customHeight="1" x14ac:dyDescent="0.25">
      <c r="A10" s="25">
        <v>7</v>
      </c>
      <c r="B10" s="26" t="s">
        <v>324</v>
      </c>
      <c r="C10" s="26" t="s">
        <v>325</v>
      </c>
      <c r="D10" s="26" t="s">
        <v>285</v>
      </c>
      <c r="E10" s="26" t="s">
        <v>326</v>
      </c>
      <c r="F10" s="26" t="s">
        <v>327</v>
      </c>
      <c r="G10" s="26" t="s">
        <v>285</v>
      </c>
      <c r="H10" s="26" t="s">
        <v>328</v>
      </c>
      <c r="I10" s="26" t="s">
        <v>329</v>
      </c>
      <c r="J10" s="51">
        <v>2</v>
      </c>
      <c r="K10" s="26" t="s">
        <v>330</v>
      </c>
      <c r="L10" s="26" t="s">
        <v>331</v>
      </c>
      <c r="M10" s="26" t="s">
        <v>293</v>
      </c>
      <c r="N10" s="26" t="s">
        <v>294</v>
      </c>
      <c r="O10" s="26"/>
      <c r="P10" s="26" t="s">
        <v>295</v>
      </c>
      <c r="Q10" s="26" t="s">
        <v>296</v>
      </c>
    </row>
    <row r="11" spans="1:17" ht="18" customHeight="1" x14ac:dyDescent="0.25">
      <c r="A11" s="25">
        <v>8</v>
      </c>
      <c r="B11" s="26" t="s">
        <v>332</v>
      </c>
      <c r="C11" s="26" t="s">
        <v>325</v>
      </c>
      <c r="D11" s="26" t="s">
        <v>285</v>
      </c>
      <c r="E11" s="26" t="s">
        <v>333</v>
      </c>
      <c r="F11" s="26" t="s">
        <v>334</v>
      </c>
      <c r="G11" s="26" t="s">
        <v>285</v>
      </c>
      <c r="H11" s="26" t="s">
        <v>335</v>
      </c>
      <c r="I11" s="26" t="s">
        <v>329</v>
      </c>
      <c r="J11" s="51">
        <v>2</v>
      </c>
      <c r="K11" s="26" t="s">
        <v>330</v>
      </c>
      <c r="L11" s="26" t="s">
        <v>331</v>
      </c>
      <c r="M11" s="26" t="s">
        <v>293</v>
      </c>
      <c r="N11" s="26" t="s">
        <v>336</v>
      </c>
      <c r="O11" s="26"/>
      <c r="P11" s="26" t="s">
        <v>295</v>
      </c>
      <c r="Q11" s="26" t="s">
        <v>296</v>
      </c>
    </row>
    <row r="12" spans="1:17" ht="18" customHeight="1" x14ac:dyDescent="0.25">
      <c r="A12" s="25">
        <v>9</v>
      </c>
      <c r="B12" s="26" t="s">
        <v>337</v>
      </c>
      <c r="C12" s="26" t="s">
        <v>338</v>
      </c>
      <c r="D12" s="26" t="s">
        <v>285</v>
      </c>
      <c r="E12" s="26" t="s">
        <v>339</v>
      </c>
      <c r="F12" s="26" t="s">
        <v>327</v>
      </c>
      <c r="G12" s="26" t="s">
        <v>285</v>
      </c>
      <c r="H12" s="26" t="s">
        <v>340</v>
      </c>
      <c r="I12" s="26" t="s">
        <v>329</v>
      </c>
      <c r="J12" s="51">
        <v>2</v>
      </c>
      <c r="K12" s="26" t="s">
        <v>330</v>
      </c>
      <c r="L12" s="26" t="s">
        <v>331</v>
      </c>
      <c r="M12" s="26" t="s">
        <v>293</v>
      </c>
      <c r="N12" s="26" t="s">
        <v>341</v>
      </c>
      <c r="O12" s="26"/>
      <c r="P12" s="26" t="s">
        <v>295</v>
      </c>
      <c r="Q12" s="26" t="s">
        <v>296</v>
      </c>
    </row>
    <row r="13" spans="1:17" ht="18" customHeight="1" x14ac:dyDescent="0.25">
      <c r="A13" s="25">
        <v>10</v>
      </c>
      <c r="B13" s="26" t="s">
        <v>342</v>
      </c>
      <c r="C13" s="26" t="s">
        <v>325</v>
      </c>
      <c r="D13" s="26" t="s">
        <v>285</v>
      </c>
      <c r="E13" s="26" t="s">
        <v>343</v>
      </c>
      <c r="F13" s="26" t="s">
        <v>308</v>
      </c>
      <c r="G13" s="26" t="s">
        <v>285</v>
      </c>
      <c r="H13" s="26" t="s">
        <v>344</v>
      </c>
      <c r="I13" s="26" t="s">
        <v>345</v>
      </c>
      <c r="J13" s="51">
        <v>3</v>
      </c>
      <c r="K13" s="26" t="s">
        <v>330</v>
      </c>
      <c r="L13" s="26" t="s">
        <v>331</v>
      </c>
      <c r="M13" s="26" t="s">
        <v>293</v>
      </c>
      <c r="N13" s="26" t="s">
        <v>336</v>
      </c>
      <c r="O13" s="26"/>
      <c r="P13" s="26" t="s">
        <v>295</v>
      </c>
      <c r="Q13" s="26" t="s">
        <v>296</v>
      </c>
    </row>
    <row r="14" spans="1:17" ht="18" customHeight="1" x14ac:dyDescent="0.25">
      <c r="A14" s="25">
        <v>11</v>
      </c>
      <c r="B14" s="26" t="s">
        <v>346</v>
      </c>
      <c r="C14" s="26" t="s">
        <v>347</v>
      </c>
      <c r="D14" s="26" t="s">
        <v>285</v>
      </c>
      <c r="E14" s="26" t="s">
        <v>348</v>
      </c>
      <c r="F14" s="26" t="s">
        <v>327</v>
      </c>
      <c r="G14" s="26" t="s">
        <v>285</v>
      </c>
      <c r="H14" s="26" t="s">
        <v>349</v>
      </c>
      <c r="I14" s="26" t="s">
        <v>350</v>
      </c>
      <c r="J14" s="51">
        <v>1</v>
      </c>
      <c r="K14" s="26" t="s">
        <v>330</v>
      </c>
      <c r="L14" s="26" t="s">
        <v>331</v>
      </c>
      <c r="M14" s="26" t="s">
        <v>293</v>
      </c>
      <c r="N14" s="26" t="s">
        <v>294</v>
      </c>
      <c r="O14" s="26"/>
      <c r="P14" s="26" t="s">
        <v>295</v>
      </c>
      <c r="Q14" s="26" t="s">
        <v>296</v>
      </c>
    </row>
    <row r="15" spans="1:17" ht="18" customHeight="1" x14ac:dyDescent="0.25">
      <c r="A15" s="25">
        <v>12</v>
      </c>
      <c r="B15" s="26" t="s">
        <v>351</v>
      </c>
      <c r="C15" s="26" t="s">
        <v>325</v>
      </c>
      <c r="D15" s="26" t="s">
        <v>285</v>
      </c>
      <c r="E15" s="26" t="s">
        <v>352</v>
      </c>
      <c r="F15" s="26" t="s">
        <v>353</v>
      </c>
      <c r="G15" s="26" t="s">
        <v>285</v>
      </c>
      <c r="H15" s="26" t="s">
        <v>354</v>
      </c>
      <c r="I15" s="26" t="s">
        <v>350</v>
      </c>
      <c r="J15" s="51">
        <v>1</v>
      </c>
      <c r="K15" s="26" t="s">
        <v>330</v>
      </c>
      <c r="L15" s="26" t="s">
        <v>331</v>
      </c>
      <c r="M15" s="26" t="s">
        <v>293</v>
      </c>
      <c r="N15" s="26" t="s">
        <v>294</v>
      </c>
      <c r="O15" s="26"/>
      <c r="P15" s="26" t="s">
        <v>295</v>
      </c>
      <c r="Q15" s="26" t="s">
        <v>296</v>
      </c>
    </row>
    <row r="16" spans="1:17" ht="18" customHeight="1" x14ac:dyDescent="0.25">
      <c r="A16" s="25">
        <v>13</v>
      </c>
      <c r="B16" s="26" t="s">
        <v>355</v>
      </c>
      <c r="C16" s="26" t="s">
        <v>327</v>
      </c>
      <c r="D16" s="26" t="s">
        <v>285</v>
      </c>
      <c r="E16" s="26" t="s">
        <v>356</v>
      </c>
      <c r="F16" s="26" t="s">
        <v>353</v>
      </c>
      <c r="G16" s="26" t="s">
        <v>285</v>
      </c>
      <c r="H16" s="26" t="s">
        <v>357</v>
      </c>
      <c r="I16" s="26" t="s">
        <v>350</v>
      </c>
      <c r="J16" s="51">
        <v>1</v>
      </c>
      <c r="K16" s="26" t="s">
        <v>330</v>
      </c>
      <c r="L16" s="26" t="s">
        <v>331</v>
      </c>
      <c r="M16" s="26" t="s">
        <v>293</v>
      </c>
      <c r="N16" s="26" t="s">
        <v>294</v>
      </c>
      <c r="O16" s="26"/>
      <c r="P16" s="26" t="s">
        <v>295</v>
      </c>
      <c r="Q16" s="26" t="s">
        <v>296</v>
      </c>
    </row>
    <row r="17" spans="1:17" ht="18" customHeight="1" x14ac:dyDescent="0.25">
      <c r="A17" s="25">
        <v>14</v>
      </c>
      <c r="B17" s="26" t="s">
        <v>358</v>
      </c>
      <c r="C17" s="26" t="s">
        <v>327</v>
      </c>
      <c r="D17" s="26" t="s">
        <v>285</v>
      </c>
      <c r="E17" s="26" t="s">
        <v>359</v>
      </c>
      <c r="F17" s="26" t="s">
        <v>334</v>
      </c>
      <c r="G17" s="26" t="s">
        <v>285</v>
      </c>
      <c r="H17" s="26" t="s">
        <v>360</v>
      </c>
      <c r="I17" s="26" t="s">
        <v>289</v>
      </c>
      <c r="J17" s="50" t="s">
        <v>290</v>
      </c>
      <c r="K17" s="26" t="s">
        <v>291</v>
      </c>
      <c r="L17" s="26" t="s">
        <v>292</v>
      </c>
      <c r="M17" s="26" t="s">
        <v>293</v>
      </c>
      <c r="N17" s="26" t="s">
        <v>294</v>
      </c>
      <c r="O17" s="26"/>
      <c r="P17" s="26" t="s">
        <v>295</v>
      </c>
      <c r="Q17" s="26" t="s">
        <v>296</v>
      </c>
    </row>
    <row r="18" spans="1:17" ht="18" customHeight="1" x14ac:dyDescent="0.25">
      <c r="A18" s="25">
        <v>15</v>
      </c>
      <c r="B18" s="26" t="s">
        <v>361</v>
      </c>
      <c r="C18" s="26" t="s">
        <v>327</v>
      </c>
      <c r="D18" s="26" t="s">
        <v>285</v>
      </c>
      <c r="E18" s="26" t="s">
        <v>362</v>
      </c>
      <c r="F18" s="26" t="s">
        <v>363</v>
      </c>
      <c r="G18" s="26" t="s">
        <v>285</v>
      </c>
      <c r="H18" s="26" t="s">
        <v>364</v>
      </c>
      <c r="I18" s="26" t="s">
        <v>345</v>
      </c>
      <c r="J18" s="51">
        <v>3</v>
      </c>
      <c r="K18" s="26" t="s">
        <v>330</v>
      </c>
      <c r="L18" s="26" t="s">
        <v>331</v>
      </c>
      <c r="M18" s="26" t="s">
        <v>293</v>
      </c>
      <c r="N18" s="26" t="s">
        <v>365</v>
      </c>
      <c r="O18" s="26"/>
      <c r="P18" s="26" t="s">
        <v>295</v>
      </c>
      <c r="Q18" s="26" t="s">
        <v>296</v>
      </c>
    </row>
    <row r="19" spans="1:17" ht="18" customHeight="1" x14ac:dyDescent="0.25">
      <c r="A19" s="25">
        <v>16</v>
      </c>
      <c r="B19" s="26" t="s">
        <v>366</v>
      </c>
      <c r="C19" s="26" t="s">
        <v>363</v>
      </c>
      <c r="D19" s="26" t="s">
        <v>285</v>
      </c>
      <c r="E19" s="26" t="s">
        <v>367</v>
      </c>
      <c r="F19" s="26" t="s">
        <v>347</v>
      </c>
      <c r="G19" s="26" t="s">
        <v>285</v>
      </c>
      <c r="H19" s="26" t="s">
        <v>368</v>
      </c>
      <c r="I19" s="26" t="s">
        <v>345</v>
      </c>
      <c r="J19" s="51">
        <v>3</v>
      </c>
      <c r="K19" s="26" t="s">
        <v>330</v>
      </c>
      <c r="L19" s="26" t="s">
        <v>331</v>
      </c>
      <c r="M19" s="26" t="s">
        <v>293</v>
      </c>
      <c r="N19" s="26" t="s">
        <v>365</v>
      </c>
      <c r="O19" s="26"/>
      <c r="P19" s="26" t="s">
        <v>295</v>
      </c>
      <c r="Q19" s="26" t="s">
        <v>296</v>
      </c>
    </row>
    <row r="20" spans="1:17" ht="18" customHeight="1" x14ac:dyDescent="0.25">
      <c r="A20" s="27">
        <v>17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spans="1:17" ht="18" customHeight="1" x14ac:dyDescent="0.25">
      <c r="A21" s="28">
        <v>18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17" ht="18" customHeight="1" x14ac:dyDescent="0.25">
      <c r="A22" s="27">
        <v>19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</row>
    <row r="23" spans="1:17" ht="18" customHeight="1" x14ac:dyDescent="0.25">
      <c r="A23" s="28">
        <v>20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spans="1:17" ht="18" customHeight="1" x14ac:dyDescent="0.25">
      <c r="A24" s="27">
        <v>21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1:17" ht="18" customHeight="1" x14ac:dyDescent="0.25">
      <c r="A25" s="28">
        <v>22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1:17" ht="18" customHeight="1" x14ac:dyDescent="0.25">
      <c r="A26" s="27">
        <v>23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spans="1:17" ht="18" customHeight="1" x14ac:dyDescent="0.25">
      <c r="A27" s="28">
        <v>24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1:17" ht="18" customHeight="1" x14ac:dyDescent="0.25">
      <c r="A28" s="27">
        <v>25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spans="1:17" ht="18" customHeight="1" x14ac:dyDescent="0.25">
      <c r="A29" s="28">
        <v>26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spans="1:17" ht="18" customHeight="1" x14ac:dyDescent="0.25">
      <c r="A30" s="27">
        <v>27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1:17" ht="18" customHeight="1" x14ac:dyDescent="0.25">
      <c r="A31" s="28">
        <v>28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spans="1:17" ht="18" customHeight="1" x14ac:dyDescent="0.25">
      <c r="A32" s="27">
        <v>29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spans="1:17" ht="18" customHeight="1" x14ac:dyDescent="0.25">
      <c r="A33" s="28">
        <v>30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1:17" ht="18" customHeight="1" x14ac:dyDescent="0.25">
      <c r="A34" s="27">
        <v>31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spans="1:17" ht="18" customHeight="1" x14ac:dyDescent="0.25">
      <c r="A35" s="28">
        <v>32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spans="1:17" ht="18" customHeight="1" x14ac:dyDescent="0.25">
      <c r="A36" s="27">
        <v>33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spans="1:17" ht="18" customHeight="1" x14ac:dyDescent="0.25">
      <c r="A37" s="28">
        <v>34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1:17" ht="18" customHeight="1" x14ac:dyDescent="0.25">
      <c r="A38" s="27">
        <v>35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1:17" ht="18" customHeight="1" x14ac:dyDescent="0.25">
      <c r="A39" s="28">
        <v>36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1:17" ht="18" customHeight="1" x14ac:dyDescent="0.25">
      <c r="A40" s="27">
        <v>37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</row>
    <row r="41" spans="1:17" ht="18" customHeight="1" x14ac:dyDescent="0.25">
      <c r="A41" s="28">
        <v>38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 spans="1:17" ht="18" customHeight="1" x14ac:dyDescent="0.25">
      <c r="A42" s="27">
        <v>39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spans="1:17" ht="18" customHeight="1" x14ac:dyDescent="0.25">
      <c r="A43" s="28">
        <v>40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17" ht="18" customHeight="1" x14ac:dyDescent="0.25">
      <c r="A44" s="27">
        <v>41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</row>
    <row r="45" spans="1:17" ht="18" customHeight="1" x14ac:dyDescent="0.25">
      <c r="A45" s="28">
        <v>42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spans="1:17" ht="18" customHeight="1" x14ac:dyDescent="0.25">
      <c r="A46" s="27">
        <v>43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1:17" ht="18" customHeight="1" x14ac:dyDescent="0.25">
      <c r="A47" s="28">
        <v>44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1:17" ht="18" customHeight="1" x14ac:dyDescent="0.25">
      <c r="A48" s="27">
        <v>45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</row>
    <row r="49" spans="1:17" ht="18" customHeight="1" x14ac:dyDescent="0.25">
      <c r="A49" s="28">
        <v>46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spans="1:17" ht="18" customHeight="1" x14ac:dyDescent="0.25">
      <c r="A50" s="27">
        <v>47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spans="1:17" ht="18" customHeight="1" x14ac:dyDescent="0.25">
      <c r="A51" s="28">
        <v>48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spans="1:17" ht="18" customHeight="1" x14ac:dyDescent="0.25">
      <c r="A52" s="27">
        <v>49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1:17" ht="18" customHeight="1" x14ac:dyDescent="0.25">
      <c r="A53" s="28">
        <v>50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6"/>
  <sheetViews>
    <sheetView showGridLines="0" zoomScaleNormal="100" workbookViewId="0">
      <pane ySplit="2" topLeftCell="A3" activePane="bottomLeft" state="frozen"/>
      <selection pane="bottomLeft" activeCell="N5" sqref="N5"/>
    </sheetView>
  </sheetViews>
  <sheetFormatPr defaultColWidth="8.5703125" defaultRowHeight="15" x14ac:dyDescent="0.25"/>
  <cols>
    <col min="1" max="1" width="6.7109375" customWidth="1"/>
    <col min="2" max="2" width="14.28515625" customWidth="1"/>
    <col min="3" max="3" width="38.140625" customWidth="1"/>
    <col min="4" max="4" width="12.42578125" customWidth="1"/>
    <col min="5" max="5" width="21" customWidth="1"/>
    <col min="6" max="6" width="18.140625" customWidth="1"/>
    <col min="7" max="7" width="14.28515625" customWidth="1"/>
    <col min="8" max="8" width="15.28515625" customWidth="1"/>
    <col min="9" max="9" width="22.85546875" customWidth="1"/>
    <col min="10" max="10" width="12.42578125" customWidth="1"/>
    <col min="11" max="11" width="9.5703125" customWidth="1"/>
    <col min="12" max="12" width="17.140625" customWidth="1"/>
    <col min="13" max="13" width="14.28515625" customWidth="1"/>
    <col min="14" max="14" width="26.7109375" customWidth="1"/>
  </cols>
  <sheetData>
    <row r="1" spans="1:14" ht="25.5" customHeight="1" x14ac:dyDescent="0.25">
      <c r="A1" s="29" t="str">
        <f>"SYSTEM I/O &amp; POWER DISTRIBUTION LIST — "&amp;Config!B6&amp;" | "&amp;Config!B11&amp;" ("&amp;Config!B12&amp;")"</f>
        <v>SYSTEM I/O &amp; POWER DISTRIBUTION LIST — PRJ-26001 | WAGO Compact Controller 100 (751-9402)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30" customHeight="1" x14ac:dyDescent="0.25">
      <c r="A2" s="24" t="s">
        <v>267</v>
      </c>
      <c r="B2" s="24" t="s">
        <v>73</v>
      </c>
      <c r="C2" s="24" t="s">
        <v>243</v>
      </c>
      <c r="D2" s="24" t="s">
        <v>369</v>
      </c>
      <c r="E2" s="24" t="s">
        <v>77</v>
      </c>
      <c r="F2" s="24" t="s">
        <v>75</v>
      </c>
      <c r="G2" s="24" t="s">
        <v>74</v>
      </c>
      <c r="H2" s="24" t="s">
        <v>76</v>
      </c>
      <c r="I2" s="24" t="s">
        <v>370</v>
      </c>
      <c r="J2" s="24" t="s">
        <v>371</v>
      </c>
      <c r="K2" s="24" t="s">
        <v>372</v>
      </c>
      <c r="L2" s="24" t="s">
        <v>373</v>
      </c>
      <c r="M2" s="24" t="s">
        <v>374</v>
      </c>
      <c r="N2" s="24" t="s">
        <v>375</v>
      </c>
    </row>
    <row r="3" spans="1:14" ht="21" customHeight="1" x14ac:dyDescent="0.25">
      <c r="A3" s="5" t="s">
        <v>376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s="32" customFormat="1" ht="18" customHeight="1" x14ac:dyDescent="0.25">
      <c r="A4" s="30">
        <v>1</v>
      </c>
      <c r="B4" s="19" t="s">
        <v>377</v>
      </c>
      <c r="C4" s="19" t="s">
        <v>378</v>
      </c>
      <c r="D4" s="19" t="s">
        <v>379</v>
      </c>
      <c r="E4" s="19"/>
      <c r="F4" s="19"/>
      <c r="G4" s="19"/>
      <c r="H4" s="19" t="s">
        <v>380</v>
      </c>
      <c r="I4" s="19" t="s">
        <v>381</v>
      </c>
      <c r="J4" s="19"/>
      <c r="K4" s="31" t="s">
        <v>382</v>
      </c>
      <c r="L4" s="19"/>
      <c r="M4" s="19"/>
      <c r="N4" s="19"/>
    </row>
    <row r="5" spans="1:14" s="32" customFormat="1" ht="18" customHeight="1" x14ac:dyDescent="0.25">
      <c r="A5" s="33">
        <v>2</v>
      </c>
      <c r="B5" s="20" t="s">
        <v>383</v>
      </c>
      <c r="C5" s="20" t="s">
        <v>384</v>
      </c>
      <c r="D5" s="20" t="s">
        <v>379</v>
      </c>
      <c r="E5" s="20"/>
      <c r="F5" s="20" t="s">
        <v>385</v>
      </c>
      <c r="G5" s="20"/>
      <c r="H5" s="20" t="s">
        <v>386</v>
      </c>
      <c r="I5" s="20" t="s">
        <v>60</v>
      </c>
      <c r="J5" s="20" t="s">
        <v>384</v>
      </c>
      <c r="K5" s="20"/>
      <c r="L5" s="20"/>
      <c r="M5" s="20"/>
      <c r="N5" s="20"/>
    </row>
    <row r="6" spans="1:14" s="32" customFormat="1" ht="18" customHeight="1" x14ac:dyDescent="0.25">
      <c r="A6" s="30">
        <v>3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s="32" customFormat="1" ht="18" customHeight="1" x14ac:dyDescent="0.25">
      <c r="A7" s="33">
        <v>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s="32" customFormat="1" ht="18" customHeight="1" x14ac:dyDescent="0.25">
      <c r="A8" s="30">
        <v>5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s="32" customFormat="1" ht="21" customHeight="1" x14ac:dyDescent="0.25">
      <c r="A9" s="5" t="s">
        <v>387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s="32" customFormat="1" ht="18" customHeight="1" x14ac:dyDescent="0.25">
      <c r="A10" s="30">
        <v>1</v>
      </c>
      <c r="B10" s="19" t="s">
        <v>388</v>
      </c>
      <c r="C10" s="19" t="s">
        <v>389</v>
      </c>
      <c r="D10" s="19" t="s">
        <v>379</v>
      </c>
      <c r="E10" s="19"/>
      <c r="F10" s="19" t="s">
        <v>390</v>
      </c>
      <c r="G10" s="19"/>
      <c r="H10" s="19"/>
      <c r="I10" s="19" t="s">
        <v>391</v>
      </c>
      <c r="J10" s="19"/>
      <c r="K10" s="19"/>
      <c r="L10" s="19"/>
      <c r="M10" s="19"/>
      <c r="N10" s="19"/>
    </row>
    <row r="11" spans="1:14" s="32" customFormat="1" ht="18" customHeight="1" x14ac:dyDescent="0.25">
      <c r="A11" s="33">
        <v>2</v>
      </c>
      <c r="B11" s="20" t="s">
        <v>392</v>
      </c>
      <c r="C11" s="20" t="s">
        <v>393</v>
      </c>
      <c r="D11" s="20" t="s">
        <v>379</v>
      </c>
      <c r="E11" s="20"/>
      <c r="F11" s="20" t="s">
        <v>394</v>
      </c>
      <c r="G11" s="20"/>
      <c r="H11" s="20"/>
      <c r="I11" s="20" t="s">
        <v>391</v>
      </c>
      <c r="J11" s="20"/>
      <c r="K11" s="20"/>
      <c r="L11" s="20"/>
      <c r="M11" s="20"/>
      <c r="N11" s="20"/>
    </row>
    <row r="12" spans="1:14" s="32" customFormat="1" ht="18" customHeight="1" x14ac:dyDescent="0.25">
      <c r="A12" s="30">
        <v>3</v>
      </c>
      <c r="B12" s="19" t="s">
        <v>395</v>
      </c>
      <c r="C12" s="19" t="s">
        <v>396</v>
      </c>
      <c r="D12" s="19" t="s">
        <v>397</v>
      </c>
      <c r="E12" s="19"/>
      <c r="F12" s="19" t="s">
        <v>398</v>
      </c>
      <c r="G12" s="19"/>
      <c r="H12" s="19"/>
      <c r="I12" s="19" t="s">
        <v>391</v>
      </c>
      <c r="J12" s="19"/>
      <c r="K12" s="19"/>
      <c r="L12" s="19"/>
      <c r="M12" s="19"/>
      <c r="N12" s="19"/>
    </row>
    <row r="13" spans="1:14" s="32" customFormat="1" ht="18" customHeight="1" x14ac:dyDescent="0.25">
      <c r="A13" s="33">
        <v>4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s="32" customFormat="1" ht="18" customHeight="1" x14ac:dyDescent="0.25">
      <c r="A14" s="30">
        <v>5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21" customHeight="1" x14ac:dyDescent="0.25">
      <c r="A15" s="5" t="s">
        <v>399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s="32" customFormat="1" ht="18" customHeight="1" x14ac:dyDescent="0.25">
      <c r="A16" s="30">
        <v>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s="32" customFormat="1" ht="18" customHeight="1" x14ac:dyDescent="0.25">
      <c r="A17" s="33">
        <v>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s="32" customFormat="1" ht="18" customHeight="1" x14ac:dyDescent="0.25">
      <c r="A18" s="30">
        <v>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s="32" customFormat="1" ht="18" customHeight="1" x14ac:dyDescent="0.25">
      <c r="A19" s="33">
        <v>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s="32" customFormat="1" ht="18" customHeight="1" x14ac:dyDescent="0.25">
      <c r="A20" s="30">
        <v>5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s="32" customFormat="1" ht="21" customHeight="1" x14ac:dyDescent="0.25">
      <c r="A21" s="5" t="s">
        <v>400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8" customHeight="1" x14ac:dyDescent="0.25">
      <c r="A22" s="30">
        <v>1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s="32" customFormat="1" ht="18" customHeight="1" x14ac:dyDescent="0.25">
      <c r="A23" s="33">
        <v>2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s="32" customFormat="1" ht="18" customHeight="1" x14ac:dyDescent="0.25">
      <c r="A24" s="30">
        <v>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s="32" customFormat="1" ht="18" customHeight="1" x14ac:dyDescent="0.25">
      <c r="A25" s="33">
        <v>4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s="32" customFormat="1" ht="18" customHeight="1" x14ac:dyDescent="0.25">
      <c r="A26" s="30">
        <v>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s="32" customFormat="1" ht="21" customHeight="1" x14ac:dyDescent="0.25">
      <c r="A27" s="2" t="s">
        <v>401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6.5" customHeight="1" x14ac:dyDescent="0.25">
      <c r="A28" s="34">
        <v>1</v>
      </c>
      <c r="B28" s="26" t="s">
        <v>402</v>
      </c>
      <c r="C28" s="26" t="s">
        <v>403</v>
      </c>
      <c r="D28" s="26"/>
      <c r="E28" s="26"/>
      <c r="F28" s="26"/>
      <c r="G28" s="26" t="s">
        <v>404</v>
      </c>
      <c r="H28" s="26" t="s">
        <v>331</v>
      </c>
      <c r="I28" s="26" t="s">
        <v>331</v>
      </c>
      <c r="J28" s="26" t="s">
        <v>405</v>
      </c>
      <c r="K28" s="26" t="s">
        <v>406</v>
      </c>
      <c r="L28" s="26" t="s">
        <v>407</v>
      </c>
      <c r="M28" s="26"/>
      <c r="N28" s="26" t="s">
        <v>379</v>
      </c>
    </row>
    <row r="29" spans="1:14" ht="16.5" customHeight="1" x14ac:dyDescent="0.25">
      <c r="A29" s="35">
        <v>2</v>
      </c>
      <c r="B29" s="36" t="s">
        <v>408</v>
      </c>
      <c r="C29" s="36" t="s">
        <v>409</v>
      </c>
      <c r="D29" s="36"/>
      <c r="E29" s="36"/>
      <c r="F29" s="36"/>
      <c r="G29" s="36" t="s">
        <v>404</v>
      </c>
      <c r="H29" s="36" t="s">
        <v>331</v>
      </c>
      <c r="I29" s="36" t="s">
        <v>331</v>
      </c>
      <c r="J29" s="36" t="s">
        <v>405</v>
      </c>
      <c r="K29" s="36" t="s">
        <v>406</v>
      </c>
      <c r="L29" s="36" t="s">
        <v>407</v>
      </c>
      <c r="M29" s="36"/>
      <c r="N29" s="36" t="s">
        <v>379</v>
      </c>
    </row>
    <row r="30" spans="1:14" s="32" customFormat="1" ht="16.5" customHeight="1" x14ac:dyDescent="0.2">
      <c r="A30" s="37">
        <v>3</v>
      </c>
      <c r="B30" s="38" t="s">
        <v>410</v>
      </c>
      <c r="C30" s="38" t="s">
        <v>411</v>
      </c>
      <c r="G30" s="38" t="s">
        <v>404</v>
      </c>
      <c r="H30" s="38" t="s">
        <v>331</v>
      </c>
      <c r="I30" s="38" t="s">
        <v>331</v>
      </c>
      <c r="J30" s="38" t="s">
        <v>405</v>
      </c>
      <c r="K30" s="38" t="s">
        <v>406</v>
      </c>
      <c r="L30" s="38" t="s">
        <v>407</v>
      </c>
      <c r="N30" s="38" t="s">
        <v>379</v>
      </c>
    </row>
    <row r="31" spans="1:14" s="32" customFormat="1" ht="16.5" customHeight="1" x14ac:dyDescent="0.2">
      <c r="A31" s="39">
        <v>4</v>
      </c>
      <c r="B31" s="36" t="s">
        <v>412</v>
      </c>
      <c r="C31" s="36" t="s">
        <v>413</v>
      </c>
      <c r="G31" s="36" t="s">
        <v>404</v>
      </c>
      <c r="H31" s="36" t="s">
        <v>331</v>
      </c>
      <c r="I31" s="36" t="s">
        <v>331</v>
      </c>
      <c r="J31" s="36" t="s">
        <v>405</v>
      </c>
      <c r="K31" s="36" t="s">
        <v>406</v>
      </c>
      <c r="L31" s="36" t="s">
        <v>407</v>
      </c>
      <c r="N31" s="36" t="s">
        <v>379</v>
      </c>
    </row>
    <row r="32" spans="1:14" s="32" customFormat="1" ht="16.5" customHeight="1" x14ac:dyDescent="0.2">
      <c r="A32" s="37">
        <v>5</v>
      </c>
      <c r="B32" s="38" t="s">
        <v>414</v>
      </c>
      <c r="C32" s="38" t="s">
        <v>415</v>
      </c>
      <c r="G32" s="38" t="s">
        <v>404</v>
      </c>
      <c r="H32" s="38" t="s">
        <v>331</v>
      </c>
      <c r="I32" s="38" t="s">
        <v>331</v>
      </c>
      <c r="J32" s="38" t="s">
        <v>405</v>
      </c>
      <c r="K32" s="38" t="s">
        <v>406</v>
      </c>
      <c r="L32" s="38" t="s">
        <v>407</v>
      </c>
      <c r="N32" s="38" t="s">
        <v>379</v>
      </c>
    </row>
    <row r="33" spans="1:14" s="32" customFormat="1" ht="16.5" customHeight="1" x14ac:dyDescent="0.2">
      <c r="A33" s="39">
        <v>1</v>
      </c>
      <c r="B33" s="36" t="s">
        <v>416</v>
      </c>
      <c r="C33" s="36" t="s">
        <v>417</v>
      </c>
      <c r="G33" s="36" t="s">
        <v>404</v>
      </c>
      <c r="H33" s="36" t="s">
        <v>331</v>
      </c>
      <c r="I33" s="36" t="s">
        <v>331</v>
      </c>
      <c r="J33" s="36" t="s">
        <v>405</v>
      </c>
      <c r="K33" s="36" t="s">
        <v>406</v>
      </c>
      <c r="L33" s="36" t="s">
        <v>407</v>
      </c>
      <c r="N33" s="36" t="s">
        <v>379</v>
      </c>
    </row>
    <row r="34" spans="1:14" s="32" customFormat="1" ht="16.5" customHeight="1" x14ac:dyDescent="0.2">
      <c r="A34" s="37">
        <v>2</v>
      </c>
      <c r="B34" s="38" t="s">
        <v>418</v>
      </c>
      <c r="C34" s="38" t="s">
        <v>419</v>
      </c>
      <c r="G34" s="38" t="s">
        <v>404</v>
      </c>
      <c r="H34" s="38" t="s">
        <v>331</v>
      </c>
      <c r="I34" s="38" t="s">
        <v>331</v>
      </c>
      <c r="J34" s="38" t="s">
        <v>405</v>
      </c>
      <c r="K34" s="38" t="s">
        <v>406</v>
      </c>
      <c r="L34" s="38" t="s">
        <v>407</v>
      </c>
      <c r="N34" s="38" t="s">
        <v>379</v>
      </c>
    </row>
    <row r="35" spans="1:14" s="32" customFormat="1" ht="16.5" customHeight="1" x14ac:dyDescent="0.2">
      <c r="A35" s="39">
        <v>3</v>
      </c>
      <c r="B35" s="36" t="s">
        <v>420</v>
      </c>
      <c r="C35" s="36" t="s">
        <v>421</v>
      </c>
      <c r="G35" s="36" t="s">
        <v>404</v>
      </c>
      <c r="H35" s="36" t="s">
        <v>331</v>
      </c>
      <c r="I35" s="36" t="s">
        <v>331</v>
      </c>
      <c r="J35" s="36" t="s">
        <v>405</v>
      </c>
      <c r="K35" s="36" t="s">
        <v>406</v>
      </c>
      <c r="L35" s="36" t="s">
        <v>407</v>
      </c>
      <c r="N35" s="36" t="s">
        <v>379</v>
      </c>
    </row>
    <row r="36" spans="1:14" s="32" customFormat="1" ht="16.5" customHeight="1" x14ac:dyDescent="0.2">
      <c r="A36" s="37">
        <v>4</v>
      </c>
      <c r="B36" s="38" t="s">
        <v>422</v>
      </c>
      <c r="C36" s="38" t="s">
        <v>423</v>
      </c>
      <c r="G36" s="38" t="s">
        <v>404</v>
      </c>
      <c r="H36" s="38" t="s">
        <v>331</v>
      </c>
      <c r="I36" s="38" t="s">
        <v>331</v>
      </c>
      <c r="J36" s="38" t="s">
        <v>405</v>
      </c>
      <c r="K36" s="38" t="s">
        <v>406</v>
      </c>
      <c r="L36" s="38" t="s">
        <v>407</v>
      </c>
      <c r="N36" s="38" t="s">
        <v>379</v>
      </c>
    </row>
    <row r="37" spans="1:14" s="32" customFormat="1" ht="16.5" customHeight="1" x14ac:dyDescent="0.2">
      <c r="A37" s="39">
        <v>5</v>
      </c>
      <c r="B37" s="36" t="s">
        <v>424</v>
      </c>
      <c r="C37" s="36" t="s">
        <v>425</v>
      </c>
      <c r="G37" s="36" t="s">
        <v>404</v>
      </c>
      <c r="H37" s="36" t="s">
        <v>331</v>
      </c>
      <c r="I37" s="36" t="s">
        <v>331</v>
      </c>
      <c r="J37" s="36" t="s">
        <v>405</v>
      </c>
      <c r="K37" s="36" t="s">
        <v>406</v>
      </c>
      <c r="L37" s="36" t="s">
        <v>407</v>
      </c>
      <c r="N37" s="36" t="s">
        <v>379</v>
      </c>
    </row>
    <row r="38" spans="1:14" s="32" customFormat="1" ht="21" customHeight="1" x14ac:dyDescent="0.25">
      <c r="A38" s="1" t="s">
        <v>426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32" customFormat="1" ht="15" customHeight="1" x14ac:dyDescent="0.2">
      <c r="A39" s="37">
        <v>1</v>
      </c>
      <c r="B39" s="38" t="s">
        <v>427</v>
      </c>
      <c r="C39" s="38" t="s">
        <v>428</v>
      </c>
      <c r="G39" s="38" t="s">
        <v>429</v>
      </c>
      <c r="H39" s="38" t="s">
        <v>430</v>
      </c>
      <c r="I39" s="38" t="s">
        <v>430</v>
      </c>
      <c r="J39" s="38" t="s">
        <v>406</v>
      </c>
      <c r="K39" s="38" t="s">
        <v>407</v>
      </c>
      <c r="L39" s="38" t="s">
        <v>407</v>
      </c>
      <c r="N39" s="38" t="s">
        <v>379</v>
      </c>
    </row>
    <row r="40" spans="1:14" s="32" customFormat="1" ht="15" customHeight="1" x14ac:dyDescent="0.2">
      <c r="A40" s="39">
        <v>2</v>
      </c>
      <c r="B40" s="36" t="s">
        <v>431</v>
      </c>
      <c r="C40" s="36" t="s">
        <v>432</v>
      </c>
      <c r="G40" s="36" t="s">
        <v>429</v>
      </c>
      <c r="H40" s="36" t="s">
        <v>430</v>
      </c>
      <c r="I40" s="36" t="s">
        <v>430</v>
      </c>
      <c r="J40" s="36" t="s">
        <v>406</v>
      </c>
      <c r="K40" s="36" t="s">
        <v>407</v>
      </c>
      <c r="L40" s="36" t="s">
        <v>407</v>
      </c>
      <c r="N40" s="36" t="s">
        <v>379</v>
      </c>
    </row>
    <row r="41" spans="1:14" s="32" customFormat="1" ht="15" customHeight="1" x14ac:dyDescent="0.2">
      <c r="A41" s="37">
        <v>3</v>
      </c>
      <c r="B41" s="38" t="s">
        <v>433</v>
      </c>
      <c r="C41" s="38" t="s">
        <v>434</v>
      </c>
      <c r="G41" s="38" t="s">
        <v>429</v>
      </c>
      <c r="H41" s="38" t="s">
        <v>430</v>
      </c>
      <c r="I41" s="38" t="s">
        <v>430</v>
      </c>
      <c r="J41" s="38" t="s">
        <v>406</v>
      </c>
      <c r="K41" s="38" t="s">
        <v>407</v>
      </c>
      <c r="L41" s="38" t="s">
        <v>407</v>
      </c>
      <c r="N41" s="38" t="s">
        <v>379</v>
      </c>
    </row>
    <row r="42" spans="1:14" ht="15" customHeight="1" x14ac:dyDescent="0.25">
      <c r="A42" s="39">
        <v>4</v>
      </c>
      <c r="B42" s="36" t="s">
        <v>435</v>
      </c>
      <c r="C42" s="36" t="s">
        <v>436</v>
      </c>
      <c r="G42" s="36" t="s">
        <v>429</v>
      </c>
      <c r="H42" s="36" t="s">
        <v>430</v>
      </c>
      <c r="I42" s="36" t="s">
        <v>430</v>
      </c>
      <c r="J42" s="36" t="s">
        <v>406</v>
      </c>
      <c r="K42" s="36" t="s">
        <v>407</v>
      </c>
      <c r="L42" s="36" t="s">
        <v>407</v>
      </c>
      <c r="N42" s="36" t="s">
        <v>379</v>
      </c>
    </row>
    <row r="43" spans="1:14" ht="15" customHeight="1" x14ac:dyDescent="0.25">
      <c r="A43" s="37">
        <v>5</v>
      </c>
      <c r="B43" s="38" t="s">
        <v>437</v>
      </c>
      <c r="C43" s="38" t="s">
        <v>438</v>
      </c>
      <c r="G43" s="38" t="s">
        <v>429</v>
      </c>
      <c r="H43" s="38" t="s">
        <v>430</v>
      </c>
      <c r="I43" s="38" t="s">
        <v>430</v>
      </c>
      <c r="J43" s="38" t="s">
        <v>406</v>
      </c>
      <c r="K43" s="38" t="s">
        <v>407</v>
      </c>
      <c r="L43" s="38" t="s">
        <v>407</v>
      </c>
      <c r="N43" s="38" t="s">
        <v>379</v>
      </c>
    </row>
    <row r="44" spans="1:14" ht="15" customHeight="1" x14ac:dyDescent="0.25">
      <c r="A44" s="39">
        <v>1</v>
      </c>
      <c r="B44" s="36" t="s">
        <v>439</v>
      </c>
      <c r="C44" s="36" t="s">
        <v>440</v>
      </c>
      <c r="G44" s="36" t="s">
        <v>429</v>
      </c>
      <c r="H44" s="36" t="s">
        <v>430</v>
      </c>
      <c r="I44" s="36" t="s">
        <v>430</v>
      </c>
      <c r="J44" s="36" t="s">
        <v>406</v>
      </c>
      <c r="K44" s="36" t="s">
        <v>407</v>
      </c>
      <c r="L44" s="36" t="s">
        <v>407</v>
      </c>
      <c r="N44" s="36" t="s">
        <v>379</v>
      </c>
    </row>
    <row r="45" spans="1:14" ht="15" customHeight="1" x14ac:dyDescent="0.25">
      <c r="A45" s="37">
        <v>2</v>
      </c>
      <c r="B45" s="38" t="s">
        <v>441</v>
      </c>
      <c r="C45" s="38" t="s">
        <v>442</v>
      </c>
      <c r="G45" s="38" t="s">
        <v>429</v>
      </c>
      <c r="H45" s="38" t="s">
        <v>430</v>
      </c>
      <c r="I45" s="38" t="s">
        <v>430</v>
      </c>
      <c r="J45" s="38" t="s">
        <v>406</v>
      </c>
      <c r="K45" s="38" t="s">
        <v>407</v>
      </c>
      <c r="L45" s="38" t="s">
        <v>407</v>
      </c>
      <c r="N45" s="38" t="s">
        <v>379</v>
      </c>
    </row>
    <row r="46" spans="1:14" ht="15" customHeight="1" x14ac:dyDescent="0.25">
      <c r="A46" s="39">
        <v>3</v>
      </c>
      <c r="B46" s="36" t="s">
        <v>443</v>
      </c>
      <c r="C46" s="36" t="s">
        <v>444</v>
      </c>
      <c r="G46" s="36" t="s">
        <v>429</v>
      </c>
      <c r="H46" s="36" t="s">
        <v>430</v>
      </c>
      <c r="I46" s="36" t="s">
        <v>430</v>
      </c>
      <c r="J46" s="36" t="s">
        <v>406</v>
      </c>
      <c r="K46" s="36" t="s">
        <v>407</v>
      </c>
      <c r="L46" s="36" t="s">
        <v>407</v>
      </c>
      <c r="N46" s="36" t="s">
        <v>379</v>
      </c>
    </row>
    <row r="47" spans="1:14" ht="15" customHeight="1" x14ac:dyDescent="0.25">
      <c r="A47" s="37">
        <v>4</v>
      </c>
      <c r="B47" s="38" t="s">
        <v>445</v>
      </c>
      <c r="C47" s="38" t="s">
        <v>446</v>
      </c>
      <c r="G47" s="38" t="s">
        <v>429</v>
      </c>
      <c r="H47" s="38" t="s">
        <v>430</v>
      </c>
      <c r="I47" s="38" t="s">
        <v>430</v>
      </c>
      <c r="J47" s="38" t="s">
        <v>406</v>
      </c>
      <c r="K47" s="38" t="s">
        <v>407</v>
      </c>
      <c r="L47" s="38" t="s">
        <v>407</v>
      </c>
      <c r="N47" s="38" t="s">
        <v>379</v>
      </c>
    </row>
    <row r="48" spans="1:14" ht="15" customHeight="1" x14ac:dyDescent="0.25">
      <c r="A48" s="39">
        <v>5</v>
      </c>
      <c r="B48" s="36" t="s">
        <v>447</v>
      </c>
      <c r="C48" s="36" t="s">
        <v>448</v>
      </c>
      <c r="G48" s="36" t="s">
        <v>429</v>
      </c>
      <c r="H48" s="36" t="s">
        <v>430</v>
      </c>
      <c r="I48" s="36" t="s">
        <v>430</v>
      </c>
      <c r="J48" s="36" t="s">
        <v>406</v>
      </c>
      <c r="K48" s="36" t="s">
        <v>407</v>
      </c>
      <c r="L48" s="36" t="s">
        <v>407</v>
      </c>
      <c r="N48" s="36" t="s">
        <v>379</v>
      </c>
    </row>
    <row r="49" spans="1:14" ht="21" customHeight="1" x14ac:dyDescent="0.25">
      <c r="A49" s="1" t="s">
        <v>449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37">
        <v>1</v>
      </c>
      <c r="B50" s="38" t="s">
        <v>450</v>
      </c>
      <c r="C50" s="38" t="s">
        <v>451</v>
      </c>
      <c r="G50" s="38" t="s">
        <v>452</v>
      </c>
      <c r="H50" s="38" t="s">
        <v>453</v>
      </c>
      <c r="I50" s="38" t="s">
        <v>453</v>
      </c>
      <c r="J50" s="38" t="s">
        <v>454</v>
      </c>
      <c r="K50" s="38" t="s">
        <v>407</v>
      </c>
      <c r="L50" s="38" t="s">
        <v>407</v>
      </c>
      <c r="N50" s="38" t="s">
        <v>455</v>
      </c>
    </row>
    <row r="51" spans="1:14" x14ac:dyDescent="0.25">
      <c r="A51" s="39">
        <v>2</v>
      </c>
      <c r="B51" s="36" t="s">
        <v>456</v>
      </c>
      <c r="C51" s="36" t="s">
        <v>457</v>
      </c>
      <c r="G51" s="36" t="s">
        <v>458</v>
      </c>
      <c r="H51" s="36" t="s">
        <v>453</v>
      </c>
      <c r="I51" s="36" t="s">
        <v>453</v>
      </c>
      <c r="J51" s="36" t="s">
        <v>459</v>
      </c>
      <c r="K51" s="36" t="s">
        <v>407</v>
      </c>
      <c r="L51" s="36" t="s">
        <v>407</v>
      </c>
      <c r="N51" s="36" t="s">
        <v>455</v>
      </c>
    </row>
    <row r="52" spans="1:14" x14ac:dyDescent="0.25">
      <c r="A52" s="37">
        <v>3</v>
      </c>
      <c r="B52" s="38" t="s">
        <v>460</v>
      </c>
      <c r="C52" s="38" t="s">
        <v>461</v>
      </c>
      <c r="G52" s="38" t="s">
        <v>462</v>
      </c>
      <c r="H52" s="38" t="s">
        <v>463</v>
      </c>
      <c r="I52" s="38" t="s">
        <v>464</v>
      </c>
      <c r="J52" s="38" t="s">
        <v>465</v>
      </c>
      <c r="K52" s="38" t="s">
        <v>407</v>
      </c>
      <c r="L52" s="38" t="s">
        <v>407</v>
      </c>
      <c r="N52" s="38" t="s">
        <v>466</v>
      </c>
    </row>
    <row r="53" spans="1:14" x14ac:dyDescent="0.25">
      <c r="A53" s="39">
        <v>1</v>
      </c>
      <c r="B53" s="36" t="s">
        <v>467</v>
      </c>
      <c r="C53" s="36" t="s">
        <v>468</v>
      </c>
      <c r="G53" s="36" t="s">
        <v>469</v>
      </c>
      <c r="H53" s="36" t="s">
        <v>331</v>
      </c>
      <c r="I53" s="36" t="s">
        <v>331</v>
      </c>
      <c r="J53" s="36" t="s">
        <v>405</v>
      </c>
      <c r="K53" s="36" t="s">
        <v>407</v>
      </c>
      <c r="L53" s="36" t="s">
        <v>407</v>
      </c>
      <c r="N53" s="36" t="s">
        <v>470</v>
      </c>
    </row>
    <row r="54" spans="1:14" x14ac:dyDescent="0.25">
      <c r="A54" s="37">
        <v>2</v>
      </c>
      <c r="B54" s="38" t="s">
        <v>471</v>
      </c>
      <c r="C54" s="38" t="s">
        <v>472</v>
      </c>
      <c r="G54" s="38" t="s">
        <v>469</v>
      </c>
      <c r="H54" s="38" t="s">
        <v>331</v>
      </c>
      <c r="I54" s="38" t="s">
        <v>331</v>
      </c>
      <c r="J54" s="38" t="s">
        <v>405</v>
      </c>
      <c r="K54" s="38" t="s">
        <v>407</v>
      </c>
      <c r="L54" s="38" t="s">
        <v>407</v>
      </c>
      <c r="N54" s="38" t="s">
        <v>470</v>
      </c>
    </row>
    <row r="55" spans="1:14" x14ac:dyDescent="0.25">
      <c r="A55" s="39">
        <v>3</v>
      </c>
      <c r="B55" s="36" t="s">
        <v>473</v>
      </c>
      <c r="C55" s="36" t="s">
        <v>474</v>
      </c>
      <c r="G55" s="36" t="s">
        <v>475</v>
      </c>
      <c r="H55" s="36" t="s">
        <v>430</v>
      </c>
      <c r="I55" s="36" t="s">
        <v>430</v>
      </c>
      <c r="J55" s="36" t="s">
        <v>406</v>
      </c>
      <c r="K55" s="36" t="s">
        <v>407</v>
      </c>
      <c r="L55" s="36" t="s">
        <v>407</v>
      </c>
      <c r="N55" s="36" t="s">
        <v>476</v>
      </c>
    </row>
    <row r="56" spans="1:14" x14ac:dyDescent="0.25">
      <c r="A56" s="37">
        <v>4</v>
      </c>
      <c r="B56" s="38" t="s">
        <v>477</v>
      </c>
      <c r="C56" s="38" t="s">
        <v>478</v>
      </c>
      <c r="G56" s="38" t="s">
        <v>475</v>
      </c>
      <c r="H56" s="38" t="s">
        <v>430</v>
      </c>
      <c r="I56" s="38" t="s">
        <v>430</v>
      </c>
      <c r="J56" s="38" t="s">
        <v>406</v>
      </c>
      <c r="K56" s="38" t="s">
        <v>407</v>
      </c>
      <c r="L56" s="38" t="s">
        <v>407</v>
      </c>
      <c r="N56" s="38" t="s">
        <v>476</v>
      </c>
    </row>
  </sheetData>
  <mergeCells count="7">
    <mergeCell ref="A38:N38"/>
    <mergeCell ref="A49:N49"/>
    <mergeCell ref="A3:N3"/>
    <mergeCell ref="A9:N9"/>
    <mergeCell ref="A15:N15"/>
    <mergeCell ref="A21:N21"/>
    <mergeCell ref="A27:N27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9"/>
  <sheetViews>
    <sheetView showGridLines="0" zoomScaleNormal="100" workbookViewId="0">
      <pane ySplit="2" topLeftCell="A3" activePane="bottomLeft" state="frozen"/>
      <selection pane="bottomLeft" activeCell="A5" sqref="A5"/>
    </sheetView>
  </sheetViews>
  <sheetFormatPr defaultColWidth="8.5703125" defaultRowHeight="15" x14ac:dyDescent="0.25"/>
  <cols>
    <col min="1" max="1" width="14.85546875" customWidth="1"/>
    <col min="2" max="2" width="10.42578125" customWidth="1"/>
    <col min="3" max="3" width="24.7109375" customWidth="1"/>
    <col min="4" max="4" width="16.140625" customWidth="1"/>
    <col min="5" max="5" width="18" customWidth="1"/>
    <col min="6" max="6" width="13.28515625" customWidth="1"/>
    <col min="7" max="7" width="12.42578125" customWidth="1"/>
    <col min="8" max="8" width="24.7109375" customWidth="1"/>
    <col min="9" max="9" width="28.5703125" customWidth="1"/>
    <col min="10" max="10" width="13.28515625" customWidth="1"/>
    <col min="11" max="11" width="10.42578125" customWidth="1"/>
    <col min="12" max="12" width="22.85546875" customWidth="1"/>
  </cols>
  <sheetData>
    <row r="1" spans="1:12" ht="42.75" customHeight="1" x14ac:dyDescent="0.25">
      <c r="A1" s="6" t="str">
        <f>"TERMINAL BLOCK LAYOUT - "&amp;Config!B6</f>
        <v>TERMINAL BLOCK LAYOUT - PRJ-26001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5.5" customHeight="1" x14ac:dyDescent="0.25">
      <c r="A2" s="40" t="s">
        <v>479</v>
      </c>
      <c r="B2" s="40"/>
      <c r="C2" s="40" t="s">
        <v>480</v>
      </c>
      <c r="D2" s="40"/>
      <c r="E2" s="40" t="str">
        <f>"Voltage: "&amp;Config!B19&amp;" / "&amp;Config!B20</f>
        <v>Voltage: 24 VDC / 230 V AC, 50 Hz</v>
      </c>
      <c r="F2" s="40"/>
      <c r="G2" s="40"/>
      <c r="H2" s="40" t="str">
        <f>"PLC: "&amp;Config!B11&amp;" ("&amp;Config!B12&amp;")"</f>
        <v>PLC: WAGO Compact Controller 100 (751-9402)</v>
      </c>
      <c r="I2" s="40"/>
      <c r="J2" s="40"/>
      <c r="K2" s="40"/>
      <c r="L2" s="40"/>
    </row>
    <row r="3" spans="1:12" ht="19.5" customHeight="1" x14ac:dyDescent="0.25">
      <c r="A3" s="5" t="s">
        <v>481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8" customHeight="1" x14ac:dyDescent="0.25">
      <c r="A4" s="9" t="s">
        <v>482</v>
      </c>
      <c r="B4" s="9" t="s">
        <v>483</v>
      </c>
      <c r="C4" s="9" t="s">
        <v>484</v>
      </c>
      <c r="D4" s="9" t="s">
        <v>485</v>
      </c>
      <c r="E4" s="9" t="s">
        <v>486</v>
      </c>
      <c r="F4" s="9" t="s">
        <v>268</v>
      </c>
      <c r="G4" s="9" t="s">
        <v>487</v>
      </c>
      <c r="H4" s="9" t="s">
        <v>488</v>
      </c>
      <c r="I4" s="9" t="s">
        <v>489</v>
      </c>
      <c r="J4" s="9" t="s">
        <v>490</v>
      </c>
      <c r="K4" s="9" t="s">
        <v>491</v>
      </c>
      <c r="L4" s="9" t="s">
        <v>78</v>
      </c>
    </row>
    <row r="5" spans="1:12" s="32" customFormat="1" ht="18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s="32" customFormat="1" ht="18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s="32" customFormat="1" ht="18" customHeight="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s="32" customFormat="1" ht="18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s="32" customFormat="1" ht="18" customHeigh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s="32" customFormat="1" ht="18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 s="32" customFormat="1" ht="18" customHeigh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2" s="32" customFormat="1" ht="18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 s="32" customFormat="1" ht="18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s="32" customFormat="1" ht="18" customHeigh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s="32" customFormat="1" ht="18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s="32" customFormat="1" ht="18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2" s="32" customFormat="1" ht="26.2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19.5" customHeight="1" x14ac:dyDescent="0.25">
      <c r="A18" s="5" t="s">
        <v>492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8" customHeight="1" x14ac:dyDescent="0.25">
      <c r="A19" s="9" t="s">
        <v>482</v>
      </c>
      <c r="B19" s="9" t="s">
        <v>483</v>
      </c>
      <c r="C19" s="9" t="s">
        <v>484</v>
      </c>
      <c r="D19" s="9" t="s">
        <v>485</v>
      </c>
      <c r="E19" s="9" t="s">
        <v>486</v>
      </c>
      <c r="F19" s="9" t="s">
        <v>268</v>
      </c>
      <c r="G19" s="9" t="s">
        <v>487</v>
      </c>
      <c r="H19" s="9" t="s">
        <v>488</v>
      </c>
      <c r="I19" s="9" t="s">
        <v>489</v>
      </c>
      <c r="J19" s="9" t="s">
        <v>490</v>
      </c>
      <c r="K19" s="9" t="s">
        <v>491</v>
      </c>
      <c r="L19" s="9" t="s">
        <v>78</v>
      </c>
    </row>
    <row r="20" spans="1:12" s="32" customFormat="1" ht="18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12" s="32" customFormat="1" ht="18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2" s="32" customFormat="1" ht="18" customHeight="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 s="32" customFormat="1" ht="18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2" s="32" customFormat="1" ht="18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1:12" s="32" customFormat="1" ht="18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2" s="32" customFormat="1" ht="18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 s="32" customFormat="1" ht="18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 s="32" customFormat="1" ht="18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spans="1:12" s="32" customFormat="1" ht="18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 s="32" customFormat="1" ht="18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12" s="32" customFormat="1" ht="18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spans="1:12" s="32" customFormat="1" ht="18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1:12" s="32" customFormat="1" ht="18" customHeight="1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 ht="18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spans="1:12" ht="18" customHeight="1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spans="1:12" s="32" customFormat="1" ht="18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spans="1:12" s="32" customFormat="1" ht="18" customHeight="1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1:12" s="32" customFormat="1" ht="26.2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s="32" customFormat="1" ht="19.5" customHeight="1" x14ac:dyDescent="0.25">
      <c r="A39" s="5" t="s">
        <v>493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s="32" customFormat="1" ht="18" customHeight="1" x14ac:dyDescent="0.25">
      <c r="A40" s="9" t="s">
        <v>482</v>
      </c>
      <c r="B40" s="9" t="s">
        <v>483</v>
      </c>
      <c r="C40" s="9" t="s">
        <v>484</v>
      </c>
      <c r="D40" s="9" t="s">
        <v>485</v>
      </c>
      <c r="E40" s="9" t="s">
        <v>486</v>
      </c>
      <c r="F40" s="9" t="s">
        <v>268</v>
      </c>
      <c r="G40" s="9" t="s">
        <v>487</v>
      </c>
      <c r="H40" s="9" t="s">
        <v>488</v>
      </c>
      <c r="I40" s="9" t="s">
        <v>489</v>
      </c>
      <c r="J40" s="9" t="s">
        <v>490</v>
      </c>
      <c r="K40" s="9" t="s">
        <v>491</v>
      </c>
      <c r="L40" s="9" t="s">
        <v>78</v>
      </c>
    </row>
    <row r="41" spans="1:12" s="32" customFormat="1" ht="18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</row>
    <row r="42" spans="1:12" s="32" customFormat="1" ht="18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1:12" s="32" customFormat="1" ht="18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 spans="1:12" s="32" customFormat="1" ht="18" customHeight="1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1:12" s="32" customFormat="1" ht="18" customHeight="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 spans="1:12" s="32" customFormat="1" ht="18" customHeight="1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spans="1:12" s="32" customFormat="1" ht="18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spans="1:12" s="32" customFormat="1" ht="18" customHeight="1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spans="1:12" s="32" customFormat="1" ht="18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spans="1:12" s="32" customFormat="1" ht="18" customHeight="1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</row>
    <row r="51" spans="1:12" s="32" customFormat="1" ht="18" customHeigh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spans="1:12" s="32" customFormat="1" ht="18" customHeight="1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spans="1:12" s="32" customFormat="1" ht="18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spans="1:12" s="32" customFormat="1" ht="18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</row>
    <row r="55" spans="1:12" s="32" customFormat="1" ht="18" customHeight="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spans="1:12" s="32" customFormat="1" ht="18" customHeight="1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 spans="1:12" s="32" customFormat="1" ht="26.2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 s="32" customFormat="1" ht="26.25" customHeight="1" x14ac:dyDescent="0.25"/>
    <row r="59" spans="1:12" s="32" customFormat="1" ht="26.25" customHeight="1" x14ac:dyDescent="0.25"/>
  </sheetData>
  <mergeCells count="4">
    <mergeCell ref="A1:L1"/>
    <mergeCell ref="A3:L3"/>
    <mergeCell ref="A18:L18"/>
    <mergeCell ref="A39:L39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1"/>
  <sheetViews>
    <sheetView showGridLines="0" zoomScaleNormal="100" workbookViewId="0">
      <pane ySplit="1" topLeftCell="A2" activePane="bottomLeft" state="frozen"/>
      <selection pane="bottomLeft" activeCell="F12" sqref="F12"/>
    </sheetView>
  </sheetViews>
  <sheetFormatPr defaultColWidth="8.5703125" defaultRowHeight="15" x14ac:dyDescent="0.25"/>
  <cols>
    <col min="1" max="1" width="24.7109375" customWidth="1"/>
    <col min="2" max="2" width="41.85546875" customWidth="1"/>
    <col min="3" max="3" width="30.42578125" customWidth="1"/>
    <col min="4" max="4" width="38.140625" customWidth="1"/>
    <col min="5" max="5" width="21" customWidth="1"/>
    <col min="6" max="6" width="38.140625" customWidth="1"/>
    <col min="7" max="7" width="19" customWidth="1"/>
    <col min="8" max="8" width="24.7109375" customWidth="1"/>
  </cols>
  <sheetData>
    <row r="1" spans="1:8" ht="25.5" customHeight="1" x14ac:dyDescent="0.25">
      <c r="A1" s="6" t="str">
        <f>"WIRING LEGEND, COLOR CODES &amp; STANDARDS - "&amp;Config!B6</f>
        <v>WIRING LEGEND, COLOR CODES &amp; STANDARDS - PRJ-26001</v>
      </c>
      <c r="B1" s="6"/>
      <c r="C1" s="6"/>
      <c r="D1" s="6"/>
      <c r="E1" s="6"/>
      <c r="F1" s="6"/>
      <c r="G1" s="6"/>
      <c r="H1" s="6"/>
    </row>
    <row r="2" spans="1:8" ht="18" customHeight="1" x14ac:dyDescent="0.25">
      <c r="A2" s="12"/>
      <c r="B2" s="12"/>
      <c r="C2" s="12"/>
      <c r="D2" s="12"/>
      <c r="E2" s="12"/>
      <c r="F2" s="12"/>
      <c r="G2" s="12"/>
      <c r="H2" s="12"/>
    </row>
    <row r="3" spans="1:8" ht="19.5" customHeight="1" x14ac:dyDescent="0.25">
      <c r="A3" s="5" t="s">
        <v>494</v>
      </c>
      <c r="B3" s="5"/>
      <c r="C3" s="5"/>
      <c r="D3" s="5"/>
      <c r="E3" s="5"/>
      <c r="F3" s="5"/>
      <c r="G3" s="5"/>
      <c r="H3" s="5"/>
    </row>
    <row r="4" spans="1:8" ht="18" customHeight="1" x14ac:dyDescent="0.25">
      <c r="A4" s="9" t="s">
        <v>495</v>
      </c>
      <c r="B4" s="9" t="s">
        <v>485</v>
      </c>
      <c r="C4" s="9" t="s">
        <v>496</v>
      </c>
      <c r="D4" s="9" t="s">
        <v>497</v>
      </c>
      <c r="E4" s="9" t="s">
        <v>498</v>
      </c>
      <c r="F4" s="9" t="s">
        <v>499</v>
      </c>
      <c r="G4" s="9" t="s">
        <v>500</v>
      </c>
      <c r="H4" s="9" t="s">
        <v>78</v>
      </c>
    </row>
    <row r="5" spans="1:8" ht="27" customHeight="1" x14ac:dyDescent="0.25">
      <c r="A5" s="26" t="s">
        <v>501</v>
      </c>
      <c r="B5" s="41" t="s">
        <v>405</v>
      </c>
      <c r="C5" s="26" t="s">
        <v>502</v>
      </c>
      <c r="D5" s="26" t="s">
        <v>188</v>
      </c>
      <c r="E5" s="26" t="s">
        <v>503</v>
      </c>
      <c r="F5" s="26" t="s">
        <v>331</v>
      </c>
      <c r="G5" s="26" t="s">
        <v>405</v>
      </c>
      <c r="H5" s="26" t="s">
        <v>504</v>
      </c>
    </row>
    <row r="6" spans="1:8" ht="27" customHeight="1" x14ac:dyDescent="0.25">
      <c r="A6" s="42" t="s">
        <v>505</v>
      </c>
      <c r="B6" s="43" t="s">
        <v>406</v>
      </c>
      <c r="C6" s="42" t="s">
        <v>506</v>
      </c>
      <c r="D6" s="42" t="s">
        <v>188</v>
      </c>
      <c r="E6" s="42" t="s">
        <v>507</v>
      </c>
      <c r="F6" s="42" t="s">
        <v>430</v>
      </c>
      <c r="G6" s="42" t="s">
        <v>406</v>
      </c>
      <c r="H6" s="42" t="s">
        <v>504</v>
      </c>
    </row>
    <row r="7" spans="1:8" ht="27" customHeight="1" x14ac:dyDescent="0.25">
      <c r="A7" s="44" t="s">
        <v>508</v>
      </c>
      <c r="B7" s="45" t="s">
        <v>509</v>
      </c>
      <c r="C7" s="44" t="s">
        <v>510</v>
      </c>
      <c r="D7" s="44" t="s">
        <v>188</v>
      </c>
      <c r="E7" s="44" t="s">
        <v>511</v>
      </c>
      <c r="F7" s="44" t="s">
        <v>463</v>
      </c>
      <c r="G7" s="44" t="s">
        <v>509</v>
      </c>
      <c r="H7" s="44" t="s">
        <v>504</v>
      </c>
    </row>
    <row r="8" spans="1:8" ht="27" customHeight="1" x14ac:dyDescent="0.25">
      <c r="A8" s="46" t="s">
        <v>512</v>
      </c>
      <c r="B8" s="47" t="s">
        <v>454</v>
      </c>
      <c r="C8" s="46" t="s">
        <v>513</v>
      </c>
      <c r="D8" s="46" t="s">
        <v>188</v>
      </c>
      <c r="E8" s="46" t="s">
        <v>514</v>
      </c>
      <c r="F8" s="46" t="s">
        <v>453</v>
      </c>
      <c r="G8" s="46" t="s">
        <v>454</v>
      </c>
      <c r="H8" s="46" t="s">
        <v>515</v>
      </c>
    </row>
    <row r="9" spans="1:8" ht="27" customHeight="1" x14ac:dyDescent="0.25">
      <c r="A9" s="44" t="s">
        <v>516</v>
      </c>
      <c r="B9" s="48" t="s">
        <v>459</v>
      </c>
      <c r="C9" s="44" t="s">
        <v>517</v>
      </c>
      <c r="D9" s="44" t="s">
        <v>188</v>
      </c>
      <c r="E9" s="44" t="s">
        <v>518</v>
      </c>
      <c r="F9" s="44" t="s">
        <v>519</v>
      </c>
      <c r="G9" s="44" t="s">
        <v>459</v>
      </c>
      <c r="H9" s="44" t="s">
        <v>515</v>
      </c>
    </row>
    <row r="10" spans="1:8" ht="27" customHeight="1" x14ac:dyDescent="0.25">
      <c r="A10" s="46" t="s">
        <v>508</v>
      </c>
      <c r="B10" s="45" t="s">
        <v>509</v>
      </c>
      <c r="C10" s="46" t="s">
        <v>510</v>
      </c>
      <c r="D10" s="46" t="s">
        <v>188</v>
      </c>
      <c r="E10" s="46" t="s">
        <v>511</v>
      </c>
      <c r="F10" s="46" t="s">
        <v>463</v>
      </c>
      <c r="G10" s="46" t="s">
        <v>509</v>
      </c>
      <c r="H10" s="46" t="s">
        <v>515</v>
      </c>
    </row>
    <row r="11" spans="1:8" ht="27" customHeight="1" x14ac:dyDescent="0.25">
      <c r="A11" s="20"/>
      <c r="B11" s="20"/>
      <c r="C11" s="20"/>
      <c r="D11" s="20"/>
      <c r="E11" s="20"/>
      <c r="F11" s="20"/>
      <c r="G11" s="20"/>
      <c r="H11" s="20"/>
    </row>
    <row r="12" spans="1:8" ht="27" customHeight="1" x14ac:dyDescent="0.25">
      <c r="A12" s="19"/>
      <c r="B12" s="19"/>
      <c r="C12" s="19"/>
      <c r="D12" s="19"/>
      <c r="E12" s="19"/>
      <c r="F12" s="19"/>
      <c r="G12" s="19"/>
      <c r="H12" s="19"/>
    </row>
    <row r="13" spans="1:8" ht="27" customHeight="1" x14ac:dyDescent="0.25">
      <c r="A13" s="20"/>
      <c r="B13" s="20"/>
      <c r="C13" s="20"/>
      <c r="D13" s="20"/>
      <c r="E13" s="20"/>
      <c r="F13" s="20"/>
      <c r="G13" s="20"/>
      <c r="H13" s="20"/>
    </row>
    <row r="14" spans="1:8" ht="27" customHeight="1" x14ac:dyDescent="0.25">
      <c r="A14" s="19"/>
      <c r="B14" s="19"/>
      <c r="C14" s="19"/>
      <c r="D14" s="19"/>
      <c r="E14" s="19"/>
      <c r="F14" s="19"/>
      <c r="G14" s="19"/>
      <c r="H14" s="19"/>
    </row>
    <row r="15" spans="1:8" ht="27" customHeight="1" x14ac:dyDescent="0.25">
      <c r="A15" s="20"/>
      <c r="B15" s="20"/>
      <c r="C15" s="20"/>
      <c r="D15" s="20"/>
      <c r="E15" s="20"/>
      <c r="F15" s="20"/>
      <c r="G15" s="20"/>
      <c r="H15" s="20"/>
    </row>
    <row r="16" spans="1:8" ht="27" customHeight="1" x14ac:dyDescent="0.25">
      <c r="A16" s="19"/>
      <c r="B16" s="19"/>
      <c r="C16" s="19"/>
      <c r="D16" s="19"/>
      <c r="E16" s="19"/>
      <c r="F16" s="19"/>
      <c r="G16" s="19"/>
      <c r="H16" s="19"/>
    </row>
    <row r="17" spans="1:8" ht="27" customHeight="1" x14ac:dyDescent="0.25">
      <c r="A17" s="20"/>
      <c r="B17" s="20"/>
      <c r="C17" s="20"/>
      <c r="D17" s="20"/>
      <c r="E17" s="20"/>
      <c r="F17" s="20"/>
      <c r="G17" s="20"/>
      <c r="H17" s="20"/>
    </row>
    <row r="18" spans="1:8" ht="27" customHeight="1" x14ac:dyDescent="0.25">
      <c r="A18" s="12"/>
      <c r="B18" s="12"/>
      <c r="C18" s="12"/>
      <c r="D18" s="12"/>
      <c r="E18" s="12"/>
      <c r="F18" s="12"/>
      <c r="G18" s="12"/>
      <c r="H18" s="12"/>
    </row>
    <row r="19" spans="1:8" ht="19.5" customHeight="1" x14ac:dyDescent="0.25">
      <c r="A19" s="5" t="s">
        <v>520</v>
      </c>
      <c r="B19" s="5"/>
      <c r="C19" s="5"/>
      <c r="D19" s="5"/>
      <c r="E19" s="5"/>
      <c r="F19" s="5"/>
      <c r="G19" s="5"/>
      <c r="H19" s="5"/>
    </row>
    <row r="20" spans="1:8" ht="18" customHeight="1" x14ac:dyDescent="0.25">
      <c r="A20" s="9" t="s">
        <v>521</v>
      </c>
      <c r="B20" s="9" t="s">
        <v>522</v>
      </c>
      <c r="C20" s="9" t="s">
        <v>523</v>
      </c>
      <c r="D20" s="9" t="s">
        <v>524</v>
      </c>
      <c r="E20" s="9" t="s">
        <v>525</v>
      </c>
      <c r="F20" s="9" t="s">
        <v>498</v>
      </c>
      <c r="G20" s="9" t="s">
        <v>526</v>
      </c>
      <c r="H20" s="9" t="s">
        <v>78</v>
      </c>
    </row>
    <row r="21" spans="1:8" ht="18" customHeight="1" x14ac:dyDescent="0.25">
      <c r="A21" s="19"/>
      <c r="B21" s="19"/>
      <c r="C21" s="19"/>
      <c r="D21" s="19"/>
      <c r="E21" s="19"/>
      <c r="F21" s="19"/>
      <c r="G21" s="19"/>
      <c r="H21" s="19"/>
    </row>
    <row r="22" spans="1:8" ht="18" customHeight="1" x14ac:dyDescent="0.25">
      <c r="A22" s="20"/>
      <c r="B22" s="20"/>
      <c r="C22" s="20"/>
      <c r="D22" s="20"/>
      <c r="E22" s="20"/>
      <c r="F22" s="20"/>
      <c r="G22" s="20"/>
      <c r="H22" s="20"/>
    </row>
    <row r="23" spans="1:8" ht="18" customHeight="1" x14ac:dyDescent="0.25">
      <c r="A23" s="19"/>
      <c r="B23" s="19"/>
      <c r="C23" s="19"/>
      <c r="D23" s="19"/>
      <c r="E23" s="19"/>
      <c r="F23" s="19"/>
      <c r="G23" s="19"/>
      <c r="H23" s="19"/>
    </row>
    <row r="24" spans="1:8" ht="18" customHeight="1" x14ac:dyDescent="0.25">
      <c r="A24" s="20"/>
      <c r="B24" s="20"/>
      <c r="C24" s="20"/>
      <c r="D24" s="20"/>
      <c r="E24" s="20"/>
      <c r="F24" s="20"/>
      <c r="G24" s="20"/>
      <c r="H24" s="20"/>
    </row>
    <row r="25" spans="1:8" ht="18" customHeight="1" x14ac:dyDescent="0.25">
      <c r="A25" s="19"/>
      <c r="B25" s="19"/>
      <c r="C25" s="19"/>
      <c r="D25" s="19"/>
      <c r="E25" s="19"/>
      <c r="F25" s="19"/>
      <c r="G25" s="19"/>
      <c r="H25" s="19"/>
    </row>
    <row r="26" spans="1:8" ht="18" customHeight="1" x14ac:dyDescent="0.25">
      <c r="A26" s="20"/>
      <c r="B26" s="20"/>
      <c r="C26" s="20"/>
      <c r="D26" s="20"/>
      <c r="E26" s="20"/>
      <c r="F26" s="20"/>
      <c r="G26" s="20"/>
      <c r="H26" s="20"/>
    </row>
    <row r="27" spans="1:8" ht="18" customHeight="1" x14ac:dyDescent="0.25">
      <c r="A27" s="19"/>
      <c r="B27" s="19"/>
      <c r="C27" s="19"/>
      <c r="D27" s="19"/>
      <c r="E27" s="19"/>
      <c r="F27" s="19"/>
      <c r="G27" s="19"/>
      <c r="H27" s="19"/>
    </row>
    <row r="28" spans="1:8" ht="18" customHeight="1" x14ac:dyDescent="0.25">
      <c r="A28" s="20"/>
      <c r="B28" s="20"/>
      <c r="C28" s="20"/>
      <c r="D28" s="20"/>
      <c r="E28" s="20"/>
      <c r="F28" s="20"/>
      <c r="G28" s="20"/>
      <c r="H28" s="20"/>
    </row>
    <row r="29" spans="1:8" ht="18" customHeight="1" x14ac:dyDescent="0.25">
      <c r="A29" s="19"/>
      <c r="B29" s="19"/>
      <c r="C29" s="19"/>
      <c r="D29" s="19"/>
      <c r="E29" s="19"/>
      <c r="F29" s="19"/>
      <c r="G29" s="19"/>
      <c r="H29" s="19"/>
    </row>
    <row r="30" spans="1:8" ht="18" customHeight="1" x14ac:dyDescent="0.25">
      <c r="A30" s="20"/>
      <c r="B30" s="20"/>
      <c r="C30" s="20"/>
      <c r="D30" s="20"/>
      <c r="E30" s="20"/>
      <c r="F30" s="20"/>
      <c r="G30" s="20"/>
      <c r="H30" s="20"/>
    </row>
    <row r="31" spans="1:8" ht="18" customHeight="1" x14ac:dyDescent="0.25">
      <c r="A31" s="12"/>
      <c r="B31" s="12"/>
      <c r="C31" s="12"/>
      <c r="D31" s="12"/>
      <c r="E31" s="12"/>
      <c r="F31" s="12"/>
      <c r="G31" s="12"/>
      <c r="H31" s="12"/>
    </row>
    <row r="32" spans="1:8" ht="19.5" customHeight="1" x14ac:dyDescent="0.25">
      <c r="A32" s="5" t="s">
        <v>527</v>
      </c>
      <c r="B32" s="5"/>
      <c r="C32" s="5"/>
      <c r="D32" s="5"/>
      <c r="E32" s="5"/>
      <c r="F32" s="5"/>
      <c r="G32" s="5"/>
      <c r="H32" s="5"/>
    </row>
    <row r="33" spans="1:8" ht="18" customHeight="1" x14ac:dyDescent="0.25">
      <c r="A33" s="9" t="s">
        <v>528</v>
      </c>
      <c r="B33" s="9" t="s">
        <v>529</v>
      </c>
      <c r="C33" s="9" t="s">
        <v>528</v>
      </c>
      <c r="D33" s="9" t="s">
        <v>529</v>
      </c>
      <c r="E33" s="12"/>
      <c r="F33" s="12"/>
      <c r="G33" s="12"/>
      <c r="H33" s="12"/>
    </row>
    <row r="34" spans="1:8" ht="18" customHeight="1" x14ac:dyDescent="0.25">
      <c r="A34" s="19"/>
      <c r="B34" s="19"/>
      <c r="C34" s="19"/>
      <c r="D34" s="19"/>
      <c r="E34" s="12"/>
      <c r="F34" s="12"/>
      <c r="G34" s="12"/>
      <c r="H34" s="12"/>
    </row>
    <row r="35" spans="1:8" ht="18" customHeight="1" x14ac:dyDescent="0.25">
      <c r="A35" s="20"/>
      <c r="B35" s="20"/>
      <c r="C35" s="20"/>
      <c r="D35" s="20"/>
      <c r="E35" s="12"/>
      <c r="F35" s="12"/>
      <c r="G35" s="12"/>
      <c r="H35" s="12"/>
    </row>
    <row r="36" spans="1:8" ht="18" customHeight="1" x14ac:dyDescent="0.25">
      <c r="A36" s="19"/>
      <c r="B36" s="19"/>
      <c r="C36" s="19"/>
      <c r="D36" s="19"/>
      <c r="E36" s="12"/>
      <c r="F36" s="12"/>
      <c r="G36" s="12"/>
      <c r="H36" s="12"/>
    </row>
    <row r="37" spans="1:8" ht="18" customHeight="1" x14ac:dyDescent="0.25">
      <c r="A37" s="20"/>
      <c r="B37" s="20"/>
      <c r="C37" s="20"/>
      <c r="D37" s="20"/>
      <c r="E37" s="12"/>
      <c r="F37" s="12"/>
      <c r="G37" s="12"/>
      <c r="H37" s="12"/>
    </row>
    <row r="38" spans="1:8" ht="18" customHeight="1" x14ac:dyDescent="0.25">
      <c r="A38" s="19"/>
      <c r="B38" s="19"/>
      <c r="C38" s="19"/>
      <c r="D38" s="19"/>
      <c r="E38" s="12"/>
      <c r="F38" s="12"/>
      <c r="G38" s="12"/>
      <c r="H38" s="12"/>
    </row>
    <row r="39" spans="1:8" ht="18" customHeight="1" x14ac:dyDescent="0.25">
      <c r="A39" s="20"/>
      <c r="B39" s="20"/>
      <c r="C39" s="20"/>
      <c r="D39" s="20"/>
      <c r="E39" s="12"/>
      <c r="F39" s="12"/>
      <c r="G39" s="12"/>
      <c r="H39" s="12"/>
    </row>
    <row r="40" spans="1:8" ht="18" customHeight="1" x14ac:dyDescent="0.25">
      <c r="A40" s="19"/>
      <c r="B40" s="19"/>
      <c r="C40" s="19"/>
      <c r="D40" s="19"/>
      <c r="E40" s="12"/>
      <c r="F40" s="12"/>
      <c r="G40" s="12"/>
      <c r="H40" s="12"/>
    </row>
    <row r="41" spans="1:8" ht="18" customHeight="1" x14ac:dyDescent="0.25">
      <c r="A41" s="20"/>
      <c r="B41" s="20"/>
      <c r="C41" s="20"/>
      <c r="D41" s="20"/>
      <c r="E41" s="12"/>
      <c r="F41" s="12"/>
      <c r="G41" s="12"/>
      <c r="H41" s="12"/>
    </row>
    <row r="42" spans="1:8" ht="18" customHeight="1" x14ac:dyDescent="0.25">
      <c r="A42" s="19"/>
      <c r="B42" s="19"/>
      <c r="C42" s="19"/>
      <c r="D42" s="19"/>
      <c r="E42" s="12"/>
      <c r="F42" s="12"/>
      <c r="G42" s="12"/>
      <c r="H42" s="12"/>
    </row>
    <row r="43" spans="1:8" ht="18" customHeight="1" x14ac:dyDescent="0.25">
      <c r="A43" s="20"/>
      <c r="B43" s="20"/>
      <c r="C43" s="20"/>
      <c r="D43" s="20"/>
      <c r="E43" s="12"/>
      <c r="F43" s="12"/>
      <c r="G43" s="12"/>
      <c r="H43" s="12"/>
    </row>
    <row r="44" spans="1:8" ht="18" customHeight="1" x14ac:dyDescent="0.25">
      <c r="A44" s="19"/>
      <c r="B44" s="19"/>
      <c r="C44" s="19"/>
      <c r="D44" s="19"/>
      <c r="E44" s="12"/>
      <c r="F44" s="12"/>
      <c r="G44" s="12"/>
      <c r="H44" s="12"/>
    </row>
    <row r="45" spans="1:8" ht="18" customHeight="1" x14ac:dyDescent="0.25">
      <c r="A45" s="20"/>
      <c r="B45" s="20"/>
      <c r="C45" s="20"/>
      <c r="D45" s="20"/>
      <c r="E45" s="12"/>
      <c r="F45" s="12"/>
      <c r="G45" s="12"/>
      <c r="H45" s="12"/>
    </row>
    <row r="46" spans="1:8" ht="18" customHeight="1" x14ac:dyDescent="0.25">
      <c r="A46" s="19"/>
      <c r="B46" s="19"/>
      <c r="C46" s="19"/>
      <c r="D46" s="19"/>
      <c r="E46" s="12"/>
      <c r="F46" s="12"/>
      <c r="G46" s="12"/>
      <c r="H46" s="12"/>
    </row>
    <row r="47" spans="1:8" ht="18" customHeight="1" x14ac:dyDescent="0.25">
      <c r="A47" s="20"/>
      <c r="B47" s="20"/>
      <c r="C47" s="20"/>
      <c r="D47" s="20"/>
      <c r="E47" s="12"/>
      <c r="F47" s="12"/>
      <c r="G47" s="12"/>
      <c r="H47" s="12"/>
    </row>
    <row r="48" spans="1:8" ht="18" customHeight="1" x14ac:dyDescent="0.25">
      <c r="A48" s="19"/>
      <c r="B48" s="19"/>
      <c r="C48" s="19"/>
      <c r="D48" s="19"/>
      <c r="E48" s="12"/>
      <c r="F48" s="12"/>
      <c r="G48" s="12"/>
      <c r="H48" s="12"/>
    </row>
    <row r="49" spans="1:8" ht="18" customHeight="1" x14ac:dyDescent="0.25">
      <c r="A49" s="20"/>
      <c r="B49" s="20"/>
      <c r="C49" s="20"/>
      <c r="D49" s="20"/>
      <c r="E49" s="12"/>
      <c r="F49" s="12"/>
      <c r="G49" s="12"/>
      <c r="H49" s="12"/>
    </row>
    <row r="50" spans="1:8" ht="18" customHeight="1" x14ac:dyDescent="0.25">
      <c r="A50" s="12"/>
      <c r="B50" s="12"/>
      <c r="C50" s="12"/>
      <c r="D50" s="12"/>
      <c r="E50" s="12"/>
      <c r="F50" s="12"/>
      <c r="G50" s="12"/>
      <c r="H50" s="12"/>
    </row>
    <row r="51" spans="1:8" ht="19.5" customHeight="1" x14ac:dyDescent="0.25">
      <c r="A51" s="5" t="s">
        <v>530</v>
      </c>
      <c r="B51" s="5"/>
      <c r="C51" s="5"/>
      <c r="D51" s="5"/>
      <c r="E51" s="5"/>
      <c r="F51" s="5"/>
      <c r="G51" s="5"/>
      <c r="H51" s="5"/>
    </row>
    <row r="52" spans="1:8" ht="18" customHeight="1" x14ac:dyDescent="0.25">
      <c r="A52" s="9" t="s">
        <v>523</v>
      </c>
      <c r="B52" s="9" t="s">
        <v>531</v>
      </c>
      <c r="C52" s="9" t="s">
        <v>532</v>
      </c>
      <c r="D52" s="9" t="s">
        <v>78</v>
      </c>
      <c r="E52" s="12"/>
      <c r="F52" s="12"/>
      <c r="G52" s="12"/>
      <c r="H52" s="12"/>
    </row>
    <row r="53" spans="1:8" ht="18" customHeight="1" x14ac:dyDescent="0.25">
      <c r="A53" s="19" t="s">
        <v>63</v>
      </c>
      <c r="B53" s="19" t="s">
        <v>533</v>
      </c>
      <c r="C53" s="19" t="s">
        <v>534</v>
      </c>
      <c r="D53" s="19" t="s">
        <v>535</v>
      </c>
      <c r="E53" s="12"/>
      <c r="F53" s="12"/>
      <c r="G53" s="12"/>
      <c r="H53" s="12"/>
    </row>
    <row r="54" spans="1:8" ht="18" customHeight="1" x14ac:dyDescent="0.25">
      <c r="A54" s="20" t="s">
        <v>536</v>
      </c>
      <c r="B54" s="20" t="s">
        <v>537</v>
      </c>
      <c r="C54" s="20" t="s">
        <v>538</v>
      </c>
      <c r="D54" s="20"/>
      <c r="E54" s="12"/>
      <c r="F54" s="12"/>
      <c r="G54" s="12"/>
      <c r="H54" s="12"/>
    </row>
    <row r="55" spans="1:8" ht="18" customHeight="1" x14ac:dyDescent="0.25">
      <c r="A55" s="19" t="s">
        <v>188</v>
      </c>
      <c r="B55" s="19" t="s">
        <v>539</v>
      </c>
      <c r="C55" s="19" t="s">
        <v>540</v>
      </c>
      <c r="D55" s="19" t="s">
        <v>541</v>
      </c>
      <c r="E55" s="12"/>
      <c r="F55" s="12"/>
      <c r="G55" s="12"/>
      <c r="H55" s="12"/>
    </row>
    <row r="56" spans="1:8" ht="18" customHeight="1" x14ac:dyDescent="0.25">
      <c r="A56" s="20" t="s">
        <v>542</v>
      </c>
      <c r="B56" s="20" t="s">
        <v>543</v>
      </c>
      <c r="C56" s="20" t="s">
        <v>544</v>
      </c>
      <c r="D56" s="20" t="s">
        <v>545</v>
      </c>
      <c r="E56" s="12"/>
      <c r="F56" s="12"/>
      <c r="G56" s="12"/>
      <c r="H56" s="12"/>
    </row>
    <row r="57" spans="1:8" ht="18" customHeight="1" x14ac:dyDescent="0.25">
      <c r="A57" s="19" t="s">
        <v>546</v>
      </c>
      <c r="B57" s="19" t="s">
        <v>547</v>
      </c>
      <c r="C57" s="19" t="s">
        <v>548</v>
      </c>
      <c r="D57" s="19" t="s">
        <v>549</v>
      </c>
      <c r="E57" s="12"/>
      <c r="F57" s="12"/>
      <c r="G57" s="12"/>
      <c r="H57" s="12"/>
    </row>
    <row r="58" spans="1:8" ht="18" customHeight="1" x14ac:dyDescent="0.25">
      <c r="A58" s="20" t="s">
        <v>199</v>
      </c>
      <c r="B58" s="20" t="s">
        <v>200</v>
      </c>
      <c r="C58" s="20" t="s">
        <v>550</v>
      </c>
      <c r="D58" s="20" t="s">
        <v>551</v>
      </c>
      <c r="E58" s="12"/>
      <c r="F58" s="12"/>
      <c r="G58" s="12"/>
      <c r="H58" s="12"/>
    </row>
    <row r="59" spans="1:8" ht="18" customHeight="1" x14ac:dyDescent="0.25">
      <c r="A59" s="19" t="s">
        <v>552</v>
      </c>
      <c r="B59" s="19" t="s">
        <v>553</v>
      </c>
      <c r="C59" s="19" t="s">
        <v>554</v>
      </c>
      <c r="D59" s="19" t="s">
        <v>555</v>
      </c>
      <c r="E59" s="12"/>
      <c r="F59" s="12"/>
      <c r="G59" s="12"/>
      <c r="H59" s="12"/>
    </row>
    <row r="60" spans="1:8" ht="18" customHeight="1" x14ac:dyDescent="0.25">
      <c r="A60" s="20" t="s">
        <v>196</v>
      </c>
      <c r="B60" s="20" t="s">
        <v>197</v>
      </c>
      <c r="C60" s="20" t="s">
        <v>556</v>
      </c>
      <c r="D60" s="20" t="s">
        <v>557</v>
      </c>
      <c r="E60" s="12"/>
      <c r="F60" s="12"/>
      <c r="G60" s="12"/>
      <c r="H60" s="12"/>
    </row>
    <row r="61" spans="1:8" ht="18" customHeight="1" x14ac:dyDescent="0.25">
      <c r="A61" s="19" t="s">
        <v>192</v>
      </c>
      <c r="B61" s="19" t="s">
        <v>558</v>
      </c>
      <c r="C61" s="19" t="s">
        <v>559</v>
      </c>
      <c r="D61" s="19" t="s">
        <v>560</v>
      </c>
      <c r="E61" s="12"/>
      <c r="F61" s="12"/>
      <c r="G61" s="12"/>
      <c r="H61" s="12"/>
    </row>
    <row r="62" spans="1:8" ht="18" customHeight="1" x14ac:dyDescent="0.25">
      <c r="A62" s="20" t="s">
        <v>561</v>
      </c>
      <c r="B62" s="20" t="s">
        <v>562</v>
      </c>
      <c r="C62" s="20" t="s">
        <v>563</v>
      </c>
      <c r="D62" s="20" t="s">
        <v>564</v>
      </c>
      <c r="E62" s="12"/>
      <c r="F62" s="12"/>
      <c r="G62" s="12"/>
      <c r="H62" s="12"/>
    </row>
    <row r="63" spans="1:8" ht="18" customHeight="1" x14ac:dyDescent="0.25">
      <c r="A63" s="12"/>
      <c r="B63" s="12"/>
      <c r="C63" s="12"/>
      <c r="D63" s="12"/>
      <c r="E63" s="12"/>
      <c r="F63" s="12"/>
      <c r="G63" s="12"/>
      <c r="H63" s="12"/>
    </row>
    <row r="64" spans="1:8" ht="19.5" customHeight="1" x14ac:dyDescent="0.25">
      <c r="A64" s="5" t="s">
        <v>565</v>
      </c>
      <c r="B64" s="5"/>
      <c r="C64" s="5"/>
      <c r="D64" s="5"/>
      <c r="E64" s="5"/>
      <c r="F64" s="5"/>
      <c r="G64" s="5"/>
      <c r="H64" s="5"/>
    </row>
    <row r="65" spans="1:8" ht="18" customHeight="1" x14ac:dyDescent="0.25">
      <c r="A65" s="9" t="s">
        <v>77</v>
      </c>
      <c r="B65" s="9" t="s">
        <v>566</v>
      </c>
      <c r="C65" s="9" t="s">
        <v>76</v>
      </c>
      <c r="D65" s="9" t="s">
        <v>567</v>
      </c>
      <c r="E65" s="12"/>
      <c r="F65" s="12"/>
      <c r="G65" s="12"/>
      <c r="H65" s="12"/>
    </row>
    <row r="66" spans="1:8" ht="18" customHeight="1" x14ac:dyDescent="0.25">
      <c r="A66" s="19" t="s">
        <v>568</v>
      </c>
      <c r="B66" s="19" t="s">
        <v>569</v>
      </c>
      <c r="C66" s="19" t="s">
        <v>570</v>
      </c>
      <c r="D66" s="19" t="s">
        <v>571</v>
      </c>
      <c r="E66" s="12"/>
      <c r="F66" s="12"/>
      <c r="G66" s="12"/>
      <c r="H66" s="12"/>
    </row>
    <row r="67" spans="1:8" ht="18" customHeight="1" x14ac:dyDescent="0.25">
      <c r="A67" s="20" t="s">
        <v>572</v>
      </c>
      <c r="B67" s="20" t="s">
        <v>573</v>
      </c>
      <c r="C67" s="20" t="s">
        <v>574</v>
      </c>
      <c r="D67" s="20" t="s">
        <v>575</v>
      </c>
      <c r="E67" s="12"/>
      <c r="F67" s="12"/>
      <c r="G67" s="12"/>
      <c r="H67" s="12"/>
    </row>
    <row r="68" spans="1:8" ht="18" customHeight="1" x14ac:dyDescent="0.25">
      <c r="A68" s="19" t="s">
        <v>576</v>
      </c>
      <c r="B68" s="19" t="s">
        <v>577</v>
      </c>
      <c r="C68" s="19" t="s">
        <v>578</v>
      </c>
      <c r="D68" s="19" t="s">
        <v>579</v>
      </c>
      <c r="E68" s="12"/>
      <c r="F68" s="12"/>
      <c r="G68" s="12"/>
      <c r="H68" s="12"/>
    </row>
    <row r="69" spans="1:8" ht="18" customHeight="1" x14ac:dyDescent="0.25">
      <c r="A69" s="20" t="s">
        <v>580</v>
      </c>
      <c r="B69" s="20" t="s">
        <v>581</v>
      </c>
      <c r="C69" s="20" t="s">
        <v>582</v>
      </c>
      <c r="D69" s="20" t="s">
        <v>583</v>
      </c>
      <c r="E69" s="12"/>
      <c r="F69" s="12"/>
      <c r="G69" s="12"/>
      <c r="H69" s="12"/>
    </row>
    <row r="70" spans="1:8" ht="18" customHeight="1" x14ac:dyDescent="0.25">
      <c r="A70" s="19" t="s">
        <v>584</v>
      </c>
      <c r="B70" s="19" t="s">
        <v>585</v>
      </c>
      <c r="C70" s="19" t="s">
        <v>586</v>
      </c>
      <c r="D70" s="19" t="s">
        <v>587</v>
      </c>
      <c r="E70" s="12"/>
      <c r="F70" s="12"/>
      <c r="G70" s="12"/>
      <c r="H70" s="12"/>
    </row>
    <row r="71" spans="1:8" ht="18" customHeight="1" x14ac:dyDescent="0.25">
      <c r="A71" s="20" t="s">
        <v>588</v>
      </c>
      <c r="B71" s="20" t="s">
        <v>589</v>
      </c>
      <c r="C71" s="20" t="s">
        <v>590</v>
      </c>
      <c r="D71" s="20" t="s">
        <v>591</v>
      </c>
      <c r="E71" s="12"/>
      <c r="F71" s="12"/>
      <c r="G71" s="12"/>
      <c r="H71" s="12"/>
    </row>
    <row r="72" spans="1:8" ht="18" customHeight="1" x14ac:dyDescent="0.25">
      <c r="A72" s="19" t="s">
        <v>592</v>
      </c>
      <c r="B72" s="19" t="s">
        <v>593</v>
      </c>
      <c r="C72" s="19" t="s">
        <v>594</v>
      </c>
      <c r="D72" s="19" t="s">
        <v>595</v>
      </c>
      <c r="E72" s="12"/>
      <c r="F72" s="12"/>
      <c r="G72" s="12"/>
      <c r="H72" s="12"/>
    </row>
    <row r="73" spans="1:8" ht="18" customHeight="1" x14ac:dyDescent="0.25">
      <c r="A73" s="12"/>
      <c r="B73" s="12"/>
      <c r="C73" s="12"/>
      <c r="D73" s="12"/>
      <c r="E73" s="12"/>
      <c r="F73" s="12"/>
      <c r="G73" s="12"/>
      <c r="H73" s="12"/>
    </row>
    <row r="74" spans="1:8" ht="18" customHeight="1" x14ac:dyDescent="0.25"/>
    <row r="75" spans="1:8" ht="18" customHeight="1" x14ac:dyDescent="0.25"/>
    <row r="76" spans="1:8" ht="18" customHeight="1" x14ac:dyDescent="0.25"/>
    <row r="77" spans="1:8" ht="18" customHeight="1" x14ac:dyDescent="0.25"/>
    <row r="78" spans="1:8" ht="18" customHeight="1" x14ac:dyDescent="0.25"/>
    <row r="79" spans="1:8" ht="18" customHeight="1" x14ac:dyDescent="0.25"/>
    <row r="80" spans="1:8" ht="18" customHeight="1" x14ac:dyDescent="0.25"/>
    <row r="81" ht="18" customHeight="1" x14ac:dyDescent="0.25"/>
  </sheetData>
  <mergeCells count="6">
    <mergeCell ref="A64:H64"/>
    <mergeCell ref="A1:H1"/>
    <mergeCell ref="A3:H3"/>
    <mergeCell ref="A19:H19"/>
    <mergeCell ref="A32:H32"/>
    <mergeCell ref="A51:H51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8"/>
  <sheetViews>
    <sheetView showGridLines="0" zoomScaleNormal="100" workbookViewId="0">
      <pane ySplit="3" topLeftCell="A4" activePane="bottomLeft" state="frozen"/>
      <selection pane="bottomLeft" activeCell="C12" sqref="C12"/>
    </sheetView>
  </sheetViews>
  <sheetFormatPr defaultColWidth="8.5703125" defaultRowHeight="15" x14ac:dyDescent="0.25"/>
  <cols>
    <col min="1" max="1" width="6.7109375" customWidth="1"/>
    <col min="2" max="2" width="13.28515625" customWidth="1"/>
    <col min="3" max="3" width="31.42578125" customWidth="1"/>
    <col min="4" max="4" width="11.42578125" customWidth="1"/>
    <col min="5" max="5" width="12.42578125" customWidth="1"/>
    <col min="6" max="6" width="13.28515625" customWidth="1"/>
    <col min="7" max="7" width="15.28515625" customWidth="1"/>
    <col min="8" max="8" width="14.28515625" customWidth="1"/>
    <col min="9" max="9" width="17.140625" customWidth="1"/>
    <col min="10" max="10" width="22.85546875" customWidth="1"/>
    <col min="11" max="11" width="17.140625" customWidth="1"/>
    <col min="12" max="12" width="21" customWidth="1"/>
    <col min="13" max="13" width="24.7109375" customWidth="1"/>
  </cols>
  <sheetData>
    <row r="1" spans="1:13" ht="25.5" customHeight="1" x14ac:dyDescent="0.25">
      <c r="A1" s="22" t="str">
        <f>"CABLE DRUM REGISTER - "&amp;Config!B6</f>
        <v>CABLE DRUM REGISTER - PRJ-26001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5.75" customHeight="1" x14ac:dyDescent="0.25">
      <c r="A2" s="23" t="str">
        <f>"Project: "&amp;Config!B6&amp;"   |   Site: "&amp;Config!B8&amp;"   |   Maintained By: Electrical Foreman"</f>
        <v>Project: PRJ-26001   |   Site: Building J - Cyber3Lab, Howest Brugge, Belgium   |   Maintained By: Electrical Foreman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30" customHeight="1" x14ac:dyDescent="0.25">
      <c r="A3" s="49" t="s">
        <v>267</v>
      </c>
      <c r="B3" s="49" t="s">
        <v>596</v>
      </c>
      <c r="C3" s="49" t="s">
        <v>597</v>
      </c>
      <c r="D3" s="49" t="s">
        <v>598</v>
      </c>
      <c r="E3" s="49" t="s">
        <v>599</v>
      </c>
      <c r="F3" s="49" t="s">
        <v>278</v>
      </c>
      <c r="G3" s="49" t="s">
        <v>600</v>
      </c>
      <c r="H3" s="49" t="s">
        <v>601</v>
      </c>
      <c r="I3" s="49" t="s">
        <v>602</v>
      </c>
      <c r="J3" s="49" t="s">
        <v>603</v>
      </c>
      <c r="K3" s="49" t="s">
        <v>604</v>
      </c>
      <c r="L3" s="49" t="s">
        <v>605</v>
      </c>
      <c r="M3" s="49" t="s">
        <v>375</v>
      </c>
    </row>
    <row r="4" spans="1:13" s="32" customFormat="1" ht="18" customHeight="1" x14ac:dyDescent="0.25">
      <c r="A4" s="30">
        <v>1</v>
      </c>
      <c r="B4" s="19"/>
      <c r="C4" s="19"/>
      <c r="D4" s="19"/>
      <c r="E4" s="19"/>
      <c r="F4" s="19"/>
      <c r="G4" s="19"/>
      <c r="H4" s="19"/>
      <c r="I4" s="19" t="str">
        <f t="shared" ref="I4:I28" si="0">IF(G4="","",G4-H4)</f>
        <v/>
      </c>
      <c r="J4" s="19"/>
      <c r="K4" s="19"/>
      <c r="L4" s="19"/>
      <c r="M4" s="19"/>
    </row>
    <row r="5" spans="1:13" s="32" customFormat="1" ht="18" customHeight="1" x14ac:dyDescent="0.25">
      <c r="A5" s="33">
        <v>2</v>
      </c>
      <c r="B5" s="20"/>
      <c r="C5" s="20"/>
      <c r="D5" s="20"/>
      <c r="E5" s="20"/>
      <c r="F5" s="20"/>
      <c r="G5" s="20"/>
      <c r="H5" s="20"/>
      <c r="I5" s="20" t="str">
        <f t="shared" si="0"/>
        <v/>
      </c>
      <c r="J5" s="20"/>
      <c r="K5" s="20"/>
      <c r="L5" s="20"/>
      <c r="M5" s="20"/>
    </row>
    <row r="6" spans="1:13" s="32" customFormat="1" ht="18" customHeight="1" x14ac:dyDescent="0.25">
      <c r="A6" s="30">
        <v>3</v>
      </c>
      <c r="B6" s="19"/>
      <c r="C6" s="19"/>
      <c r="D6" s="19"/>
      <c r="E6" s="19"/>
      <c r="F6" s="19"/>
      <c r="G6" s="19"/>
      <c r="H6" s="19"/>
      <c r="I6" s="19" t="str">
        <f t="shared" si="0"/>
        <v/>
      </c>
      <c r="J6" s="19"/>
      <c r="K6" s="19"/>
      <c r="L6" s="19"/>
      <c r="M6" s="19"/>
    </row>
    <row r="7" spans="1:13" s="32" customFormat="1" ht="18" customHeight="1" x14ac:dyDescent="0.25">
      <c r="A7" s="33">
        <v>4</v>
      </c>
      <c r="B7" s="20"/>
      <c r="C7" s="20"/>
      <c r="D7" s="20"/>
      <c r="E7" s="20"/>
      <c r="F7" s="20"/>
      <c r="G7" s="20"/>
      <c r="H7" s="20"/>
      <c r="I7" s="20" t="str">
        <f t="shared" si="0"/>
        <v/>
      </c>
      <c r="J7" s="20"/>
      <c r="K7" s="20"/>
      <c r="L7" s="20"/>
      <c r="M7" s="20"/>
    </row>
    <row r="8" spans="1:13" s="32" customFormat="1" ht="18" customHeight="1" x14ac:dyDescent="0.25">
      <c r="A8" s="30">
        <v>5</v>
      </c>
      <c r="B8" s="19"/>
      <c r="C8" s="19"/>
      <c r="D8" s="19"/>
      <c r="E8" s="19"/>
      <c r="F8" s="19"/>
      <c r="G8" s="19"/>
      <c r="H8" s="19"/>
      <c r="I8" s="19" t="str">
        <f t="shared" si="0"/>
        <v/>
      </c>
      <c r="J8" s="19"/>
      <c r="K8" s="19"/>
      <c r="L8" s="19"/>
      <c r="M8" s="19"/>
    </row>
    <row r="9" spans="1:13" s="32" customFormat="1" ht="18" customHeight="1" x14ac:dyDescent="0.25">
      <c r="A9" s="33">
        <v>6</v>
      </c>
      <c r="B9" s="20"/>
      <c r="C9" s="20"/>
      <c r="D9" s="20"/>
      <c r="E9" s="20"/>
      <c r="F9" s="20"/>
      <c r="G9" s="20"/>
      <c r="H9" s="20"/>
      <c r="I9" s="20" t="str">
        <f t="shared" si="0"/>
        <v/>
      </c>
      <c r="J9" s="20"/>
      <c r="K9" s="20"/>
      <c r="L9" s="20"/>
      <c r="M9" s="20"/>
    </row>
    <row r="10" spans="1:13" s="32" customFormat="1" ht="18" customHeight="1" x14ac:dyDescent="0.25">
      <c r="A10" s="30">
        <v>7</v>
      </c>
      <c r="B10" s="19"/>
      <c r="C10" s="19"/>
      <c r="D10" s="19"/>
      <c r="E10" s="19"/>
      <c r="F10" s="19"/>
      <c r="G10" s="19"/>
      <c r="H10" s="19"/>
      <c r="I10" s="19" t="str">
        <f t="shared" si="0"/>
        <v/>
      </c>
      <c r="J10" s="19"/>
      <c r="K10" s="19"/>
      <c r="L10" s="19"/>
      <c r="M10" s="19"/>
    </row>
    <row r="11" spans="1:13" s="32" customFormat="1" ht="18" customHeight="1" x14ac:dyDescent="0.25">
      <c r="A11" s="33">
        <v>8</v>
      </c>
      <c r="B11" s="20"/>
      <c r="C11" s="20"/>
      <c r="D11" s="20"/>
      <c r="E11" s="20"/>
      <c r="F11" s="20"/>
      <c r="G11" s="20"/>
      <c r="H11" s="20"/>
      <c r="I11" s="20" t="str">
        <f t="shared" si="0"/>
        <v/>
      </c>
      <c r="J11" s="20"/>
      <c r="K11" s="20"/>
      <c r="L11" s="20"/>
      <c r="M11" s="20"/>
    </row>
    <row r="12" spans="1:13" s="32" customFormat="1" ht="18" customHeight="1" x14ac:dyDescent="0.25">
      <c r="A12" s="30">
        <v>9</v>
      </c>
      <c r="B12" s="19"/>
      <c r="C12" s="19"/>
      <c r="D12" s="19"/>
      <c r="E12" s="19"/>
      <c r="F12" s="19"/>
      <c r="G12" s="19"/>
      <c r="H12" s="19"/>
      <c r="I12" s="19" t="str">
        <f t="shared" si="0"/>
        <v/>
      </c>
      <c r="J12" s="19"/>
      <c r="K12" s="19"/>
      <c r="L12" s="19"/>
      <c r="M12" s="19"/>
    </row>
    <row r="13" spans="1:13" s="32" customFormat="1" ht="18" customHeight="1" x14ac:dyDescent="0.25">
      <c r="A13" s="33">
        <v>10</v>
      </c>
      <c r="B13" s="20"/>
      <c r="C13" s="20"/>
      <c r="D13" s="20"/>
      <c r="E13" s="20"/>
      <c r="F13" s="20"/>
      <c r="G13" s="20"/>
      <c r="H13" s="20"/>
      <c r="I13" s="20" t="str">
        <f t="shared" si="0"/>
        <v/>
      </c>
      <c r="J13" s="20"/>
      <c r="K13" s="20"/>
      <c r="L13" s="20"/>
      <c r="M13" s="20"/>
    </row>
    <row r="14" spans="1:13" s="32" customFormat="1" ht="18" customHeight="1" x14ac:dyDescent="0.25">
      <c r="A14" s="30">
        <v>11</v>
      </c>
      <c r="B14" s="19"/>
      <c r="C14" s="19"/>
      <c r="D14" s="19"/>
      <c r="E14" s="19"/>
      <c r="F14" s="19"/>
      <c r="G14" s="19"/>
      <c r="H14" s="19"/>
      <c r="I14" s="19" t="str">
        <f t="shared" si="0"/>
        <v/>
      </c>
      <c r="J14" s="19"/>
      <c r="K14" s="19"/>
      <c r="L14" s="19"/>
      <c r="M14" s="19"/>
    </row>
    <row r="15" spans="1:13" s="32" customFormat="1" ht="18" customHeight="1" x14ac:dyDescent="0.25">
      <c r="A15" s="33">
        <v>12</v>
      </c>
      <c r="B15" s="20"/>
      <c r="C15" s="20"/>
      <c r="D15" s="20"/>
      <c r="E15" s="20"/>
      <c r="F15" s="20"/>
      <c r="G15" s="20"/>
      <c r="H15" s="20"/>
      <c r="I15" s="20" t="str">
        <f t="shared" si="0"/>
        <v/>
      </c>
      <c r="J15" s="20"/>
      <c r="K15" s="20"/>
      <c r="L15" s="20"/>
      <c r="M15" s="20"/>
    </row>
    <row r="16" spans="1:13" s="32" customFormat="1" ht="18" customHeight="1" x14ac:dyDescent="0.25">
      <c r="A16" s="30">
        <v>13</v>
      </c>
      <c r="B16" s="19"/>
      <c r="C16" s="19"/>
      <c r="D16" s="19"/>
      <c r="E16" s="19"/>
      <c r="F16" s="19"/>
      <c r="G16" s="19"/>
      <c r="H16" s="19"/>
      <c r="I16" s="19" t="str">
        <f t="shared" si="0"/>
        <v/>
      </c>
      <c r="J16" s="19"/>
      <c r="K16" s="19"/>
      <c r="L16" s="19"/>
      <c r="M16" s="19"/>
    </row>
    <row r="17" spans="1:13" s="32" customFormat="1" ht="18" customHeight="1" x14ac:dyDescent="0.25">
      <c r="A17" s="33">
        <v>14</v>
      </c>
      <c r="B17" s="20"/>
      <c r="C17" s="20"/>
      <c r="D17" s="20"/>
      <c r="E17" s="20"/>
      <c r="F17" s="20"/>
      <c r="G17" s="20"/>
      <c r="H17" s="20"/>
      <c r="I17" s="20" t="str">
        <f t="shared" si="0"/>
        <v/>
      </c>
      <c r="J17" s="20"/>
      <c r="K17" s="20"/>
      <c r="L17" s="20"/>
      <c r="M17" s="20"/>
    </row>
    <row r="18" spans="1:13" s="32" customFormat="1" ht="18" customHeight="1" x14ac:dyDescent="0.25">
      <c r="A18" s="30">
        <v>15</v>
      </c>
      <c r="B18" s="19"/>
      <c r="C18" s="19"/>
      <c r="D18" s="19"/>
      <c r="E18" s="19"/>
      <c r="F18" s="19"/>
      <c r="G18" s="19"/>
      <c r="H18" s="19"/>
      <c r="I18" s="19" t="str">
        <f t="shared" si="0"/>
        <v/>
      </c>
      <c r="J18" s="19"/>
      <c r="K18" s="19"/>
      <c r="L18" s="19"/>
      <c r="M18" s="19"/>
    </row>
    <row r="19" spans="1:13" s="32" customFormat="1" ht="18" customHeight="1" x14ac:dyDescent="0.25">
      <c r="A19" s="33">
        <v>16</v>
      </c>
      <c r="B19" s="20"/>
      <c r="C19" s="20"/>
      <c r="D19" s="20"/>
      <c r="E19" s="20"/>
      <c r="F19" s="20"/>
      <c r="G19" s="20"/>
      <c r="H19" s="20"/>
      <c r="I19" s="20" t="str">
        <f t="shared" si="0"/>
        <v/>
      </c>
      <c r="J19" s="20"/>
      <c r="K19" s="20"/>
      <c r="L19" s="20"/>
      <c r="M19" s="20"/>
    </row>
    <row r="20" spans="1:13" s="32" customFormat="1" ht="18" customHeight="1" x14ac:dyDescent="0.25">
      <c r="A20" s="30">
        <v>17</v>
      </c>
      <c r="B20" s="19"/>
      <c r="C20" s="19"/>
      <c r="D20" s="19"/>
      <c r="E20" s="19"/>
      <c r="F20" s="19"/>
      <c r="G20" s="19"/>
      <c r="H20" s="19"/>
      <c r="I20" s="19" t="str">
        <f t="shared" si="0"/>
        <v/>
      </c>
      <c r="J20" s="19"/>
      <c r="K20" s="19"/>
      <c r="L20" s="19"/>
      <c r="M20" s="19"/>
    </row>
    <row r="21" spans="1:13" s="32" customFormat="1" ht="18" customHeight="1" x14ac:dyDescent="0.25">
      <c r="A21" s="33">
        <v>18</v>
      </c>
      <c r="B21" s="20"/>
      <c r="C21" s="20"/>
      <c r="D21" s="20"/>
      <c r="E21" s="20"/>
      <c r="F21" s="20"/>
      <c r="G21" s="20"/>
      <c r="H21" s="20"/>
      <c r="I21" s="20" t="str">
        <f t="shared" si="0"/>
        <v/>
      </c>
      <c r="J21" s="20"/>
      <c r="K21" s="20"/>
      <c r="L21" s="20"/>
      <c r="M21" s="20"/>
    </row>
    <row r="22" spans="1:13" s="32" customFormat="1" ht="18" customHeight="1" x14ac:dyDescent="0.25">
      <c r="A22" s="30">
        <v>19</v>
      </c>
      <c r="B22" s="19"/>
      <c r="C22" s="19"/>
      <c r="D22" s="19"/>
      <c r="E22" s="19"/>
      <c r="F22" s="19"/>
      <c r="G22" s="19"/>
      <c r="H22" s="19"/>
      <c r="I22" s="19" t="str">
        <f t="shared" si="0"/>
        <v/>
      </c>
      <c r="J22" s="19"/>
      <c r="K22" s="19"/>
      <c r="L22" s="19"/>
      <c r="M22" s="19"/>
    </row>
    <row r="23" spans="1:13" ht="18" customHeight="1" x14ac:dyDescent="0.25">
      <c r="A23" s="33">
        <v>20</v>
      </c>
      <c r="B23" s="20"/>
      <c r="C23" s="20"/>
      <c r="D23" s="20"/>
      <c r="E23" s="20"/>
      <c r="F23" s="20"/>
      <c r="G23" s="20"/>
      <c r="H23" s="20"/>
      <c r="I23" s="20" t="str">
        <f t="shared" si="0"/>
        <v/>
      </c>
      <c r="J23" s="20"/>
      <c r="K23" s="20"/>
      <c r="L23" s="20"/>
      <c r="M23" s="20"/>
    </row>
    <row r="24" spans="1:13" ht="18" customHeight="1" x14ac:dyDescent="0.25">
      <c r="A24" s="30">
        <v>21</v>
      </c>
      <c r="B24" s="19"/>
      <c r="C24" s="19"/>
      <c r="D24" s="19"/>
      <c r="E24" s="19"/>
      <c r="F24" s="19"/>
      <c r="G24" s="19"/>
      <c r="H24" s="19"/>
      <c r="I24" s="19" t="str">
        <f t="shared" si="0"/>
        <v/>
      </c>
      <c r="J24" s="19"/>
      <c r="K24" s="19"/>
      <c r="L24" s="19"/>
      <c r="M24" s="19"/>
    </row>
    <row r="25" spans="1:13" ht="18" customHeight="1" x14ac:dyDescent="0.25">
      <c r="A25" s="33">
        <v>22</v>
      </c>
      <c r="B25" s="20"/>
      <c r="C25" s="20"/>
      <c r="D25" s="20"/>
      <c r="E25" s="20"/>
      <c r="F25" s="20"/>
      <c r="G25" s="20"/>
      <c r="H25" s="20"/>
      <c r="I25" s="20" t="str">
        <f t="shared" si="0"/>
        <v/>
      </c>
      <c r="J25" s="20"/>
      <c r="K25" s="20"/>
      <c r="L25" s="20"/>
      <c r="M25" s="20"/>
    </row>
    <row r="26" spans="1:13" ht="18" customHeight="1" x14ac:dyDescent="0.25">
      <c r="A26" s="30">
        <v>23</v>
      </c>
      <c r="B26" s="19"/>
      <c r="C26" s="19"/>
      <c r="D26" s="19"/>
      <c r="E26" s="19"/>
      <c r="F26" s="19"/>
      <c r="G26" s="19"/>
      <c r="H26" s="19"/>
      <c r="I26" s="19" t="str">
        <f t="shared" si="0"/>
        <v/>
      </c>
      <c r="J26" s="19"/>
      <c r="K26" s="19"/>
      <c r="L26" s="19"/>
      <c r="M26" s="19"/>
    </row>
    <row r="27" spans="1:13" ht="18" customHeight="1" x14ac:dyDescent="0.25">
      <c r="A27" s="33">
        <v>24</v>
      </c>
      <c r="B27" s="20"/>
      <c r="C27" s="20"/>
      <c r="D27" s="20"/>
      <c r="E27" s="20"/>
      <c r="F27" s="20"/>
      <c r="G27" s="20"/>
      <c r="H27" s="20"/>
      <c r="I27" s="20" t="str">
        <f t="shared" si="0"/>
        <v/>
      </c>
      <c r="J27" s="20"/>
      <c r="K27" s="20"/>
      <c r="L27" s="20"/>
      <c r="M27" s="20"/>
    </row>
    <row r="28" spans="1:13" ht="18" customHeight="1" x14ac:dyDescent="0.25">
      <c r="A28" s="30">
        <v>25</v>
      </c>
      <c r="B28" s="19"/>
      <c r="C28" s="19"/>
      <c r="D28" s="19"/>
      <c r="E28" s="19"/>
      <c r="F28" s="19"/>
      <c r="G28" s="19"/>
      <c r="H28" s="19"/>
      <c r="I28" s="19" t="str">
        <f t="shared" si="0"/>
        <v/>
      </c>
      <c r="J28" s="19"/>
      <c r="K28" s="19"/>
      <c r="L28" s="19"/>
      <c r="M28" s="19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Config</vt:lpstr>
      <vt:lpstr>Cover</vt:lpstr>
      <vt:lpstr>Cable Schedule</vt:lpstr>
      <vt:lpstr>IO List</vt:lpstr>
      <vt:lpstr>Terminal Block Layout</vt:lpstr>
      <vt:lpstr>Wiring Legend</vt:lpstr>
      <vt:lpstr>Cable Drum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Attila SZUCS</dc:creator>
  <dc:description/>
  <cp:lastModifiedBy>Attila SZUCS</cp:lastModifiedBy>
  <cp:revision>0</cp:revision>
  <cp:lastPrinted>2026-02-20T08:51:03Z</cp:lastPrinted>
  <dcterms:created xsi:type="dcterms:W3CDTF">2026-02-19T12:02:38Z</dcterms:created>
  <dcterms:modified xsi:type="dcterms:W3CDTF">2026-05-08T15:06:25Z</dcterms:modified>
  <dc:language>en-US</dc:language>
</cp:coreProperties>
</file>