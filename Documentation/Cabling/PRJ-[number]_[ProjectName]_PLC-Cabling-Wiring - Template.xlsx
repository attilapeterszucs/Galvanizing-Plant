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Howest\Internship\Documentation\"/>
    </mc:Choice>
  </mc:AlternateContent>
  <xr:revisionPtr revIDLastSave="0" documentId="13_ncr:1_{1D61D2FE-6069-478C-8DDB-F5966E0C6788}" xr6:coauthVersionLast="47" xr6:coauthVersionMax="47" xr10:uidLastSave="{00000000-0000-0000-0000-000000000000}"/>
  <bookViews>
    <workbookView xWindow="-120" yWindow="-120" windowWidth="38640" windowHeight="21120" xr2:uid="{5F2481A2-5D91-4703-ADA2-BA81028791B3}"/>
  </bookViews>
  <sheets>
    <sheet name="Config" sheetId="7" r:id="rId1"/>
    <sheet name="Cover" sheetId="1" r:id="rId2"/>
    <sheet name="Cable Schedule" sheetId="2" r:id="rId3"/>
    <sheet name="IO List" sheetId="3" r:id="rId4"/>
    <sheet name="Terminal Block Layout" sheetId="4" r:id="rId5"/>
    <sheet name="Cable Drum Register" sheetId="5" r:id="rId6"/>
    <sheet name="Wiring Legend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C12" i="1"/>
  <c r="C11" i="1"/>
  <c r="C10" i="1"/>
  <c r="E9" i="1"/>
  <c r="C9" i="1"/>
  <c r="E8" i="1"/>
  <c r="C8" i="1"/>
  <c r="E7" i="1"/>
  <c r="C7" i="1"/>
  <c r="E6" i="1"/>
  <c r="C6" i="1"/>
  <c r="E5" i="1"/>
  <c r="C5" i="1"/>
  <c r="A1" i="6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A2" i="5"/>
  <c r="A1" i="5"/>
  <c r="H2" i="4"/>
  <c r="E2" i="4"/>
  <c r="A1" i="4"/>
  <c r="A1" i="3"/>
  <c r="A2" i="2"/>
  <c r="A1" i="2"/>
</calcChain>
</file>

<file path=xl/sharedStrings.xml><?xml version="1.0" encoding="utf-8"?>
<sst xmlns="http://schemas.openxmlformats.org/spreadsheetml/2006/main" count="530" uniqueCount="402">
  <si>
    <t>INDUSTRIAL PLC CABLING &amp; WIRING SYSTEM</t>
  </si>
  <si>
    <t>PROJECT INFORMATION</t>
  </si>
  <si>
    <t>Project Name:</t>
  </si>
  <si>
    <t>Project No.:</t>
  </si>
  <si>
    <t>Client:</t>
  </si>
  <si>
    <t>Site Location:</t>
  </si>
  <si>
    <t>Engineer:</t>
  </si>
  <si>
    <t>Discipline:</t>
  </si>
  <si>
    <t>Electrical / Instrumentation</t>
  </si>
  <si>
    <t>Drawing Ref:</t>
  </si>
  <si>
    <t>EL-PLC-001 to EL-PLC-048</t>
  </si>
  <si>
    <t>PLC Platform:</t>
  </si>
  <si>
    <t>Voltage (Control):</t>
  </si>
  <si>
    <t>24 VDC</t>
  </si>
  <si>
    <t>Voltage (Power):</t>
  </si>
  <si>
    <t>400 VAC, 3-Phase, 50 Hz</t>
  </si>
  <si>
    <t>Enclosure Rating:</t>
  </si>
  <si>
    <t>IP65 (Field) / IP54 (Panel)</t>
  </si>
  <si>
    <t>Standard:</t>
  </si>
  <si>
    <t>IEC 60204-1 / AS/NZS 3000</t>
  </si>
  <si>
    <t>Prepared By:</t>
  </si>
  <si>
    <t>Date:</t>
  </si>
  <si>
    <t>Approved By:</t>
  </si>
  <si>
    <t>Rev Status:</t>
  </si>
  <si>
    <t>REV A – Issued for Construction</t>
  </si>
  <si>
    <t>DOCUMENT INDEX</t>
  </si>
  <si>
    <t>Sheet / Tab</t>
  </si>
  <si>
    <t>Document Title</t>
  </si>
  <si>
    <t>Description</t>
  </si>
  <si>
    <t>Status</t>
  </si>
  <si>
    <t>Cover</t>
  </si>
  <si>
    <t>Project Cover Sheet</t>
  </si>
  <si>
    <t>Project information and document index</t>
  </si>
  <si>
    <t>Cable Schedule</t>
  </si>
  <si>
    <t>Full cable listing with specs, routing &amp; terminations</t>
  </si>
  <si>
    <t>IO List</t>
  </si>
  <si>
    <t>PLC I/O List</t>
  </si>
  <si>
    <t>Digital and analog I/O assignments with signal details</t>
  </si>
  <si>
    <t>Terminal Block Layout</t>
  </si>
  <si>
    <t>Panel terminal block assignments and wire mapping</t>
  </si>
  <si>
    <t>Cable Drum Register</t>
  </si>
  <si>
    <t>Drum tracking, lengths issued and remaining</t>
  </si>
  <si>
    <t>Wiring Legend</t>
  </si>
  <si>
    <t>Wiring Legend &amp; Standards</t>
  </si>
  <si>
    <t>Color codes, abbreviations, cable types, standards ref</t>
  </si>
  <si>
    <t>GENERAL NOTES</t>
  </si>
  <si>
    <t>1. All cabling shall be installed in accordance with IEC 60204-1 and local wiring regulations.</t>
  </si>
  <si>
    <t>3. All cable screens/shields to be grounded at ONE end only (control panel end) unless otherwise noted.</t>
  </si>
  <si>
    <t>5. All field terminations to use ferrules (bootlace type). Crimping tool: Weidmuller or equivalent.</t>
  </si>
  <si>
    <t>7. Motor cables must be shielded (VFD duty) where inverter drives are installed.</t>
  </si>
  <si>
    <t>#</t>
  </si>
  <si>
    <t>Cable No.</t>
  </si>
  <si>
    <t>From (Source)</t>
  </si>
  <si>
    <t>From Location</t>
  </si>
  <si>
    <t>From Terminal</t>
  </si>
  <si>
    <t>To (Destination)</t>
  </si>
  <si>
    <t>To Location</t>
  </si>
  <si>
    <t>To Terminal</t>
  </si>
  <si>
    <t>Cable Type</t>
  </si>
  <si>
    <t>Rev</t>
  </si>
  <si>
    <t>Cores</t>
  </si>
  <si>
    <t>Size mm²</t>
  </si>
  <si>
    <t>Volt Rating</t>
  </si>
  <si>
    <t>Shield</t>
  </si>
  <si>
    <t>Length m</t>
  </si>
  <si>
    <t>I/O Tag</t>
  </si>
  <si>
    <t>Signal Type</t>
  </si>
  <si>
    <t>Range / State</t>
  </si>
  <si>
    <t>Wire +</t>
  </si>
  <si>
    <t>Wire -</t>
  </si>
  <si>
    <t>Screen</t>
  </si>
  <si>
    <t>Terminal</t>
  </si>
  <si>
    <t>Remarks</t>
  </si>
  <si>
    <t>DI10001</t>
  </si>
  <si>
    <t>DI 24VDC</t>
  </si>
  <si>
    <t>DI10002</t>
  </si>
  <si>
    <t>DI10003</t>
  </si>
  <si>
    <t>DI10004</t>
  </si>
  <si>
    <t>DI10005</t>
  </si>
  <si>
    <t>DI10006</t>
  </si>
  <si>
    <t>DI10007</t>
  </si>
  <si>
    <t>DI10008</t>
  </si>
  <si>
    <t>DI10009</t>
  </si>
  <si>
    <t>DI10010</t>
  </si>
  <si>
    <t>DI10011</t>
  </si>
  <si>
    <t>DI10012</t>
  </si>
  <si>
    <t>DO20001</t>
  </si>
  <si>
    <t>DO 24VDC</t>
  </si>
  <si>
    <t>DO20002</t>
  </si>
  <si>
    <t>DO20003</t>
  </si>
  <si>
    <t>DO20004</t>
  </si>
  <si>
    <t>DO20005</t>
  </si>
  <si>
    <t>DO20006</t>
  </si>
  <si>
    <t>DO20007</t>
  </si>
  <si>
    <t>AI30001</t>
  </si>
  <si>
    <t>AI30002</t>
  </si>
  <si>
    <t>AI30003</t>
  </si>
  <si>
    <t>AO40001</t>
  </si>
  <si>
    <t>TB No.</t>
  </si>
  <si>
    <t>Term No.</t>
  </si>
  <si>
    <t>Terminal Type</t>
  </si>
  <si>
    <t>Wire Color</t>
  </si>
  <si>
    <t>Cable Core</t>
  </si>
  <si>
    <t>To / From</t>
  </si>
  <si>
    <t>Tag / Description</t>
  </si>
  <si>
    <t>Ferrule</t>
  </si>
  <si>
    <t>Jumper</t>
  </si>
  <si>
    <t>Notes</t>
  </si>
  <si>
    <t>Drum ID</t>
  </si>
  <si>
    <t>Cable Type &amp; Spec</t>
  </si>
  <si>
    <t>Core Qty</t>
  </si>
  <si>
    <t>Core Size</t>
  </si>
  <si>
    <t>Full Length (m)</t>
  </si>
  <si>
    <t>Issued (m)</t>
  </si>
  <si>
    <t>Remaining (m)</t>
  </si>
  <si>
    <t>Location / Bay</t>
  </si>
  <si>
    <t>Date Received</t>
  </si>
  <si>
    <t>Supplier</t>
  </si>
  <si>
    <t>1. WIRE COLOR CODES — IEC 60446 / AS/NZS 3000</t>
  </si>
  <si>
    <t>Function</t>
  </si>
  <si>
    <t>Hex Code</t>
  </si>
  <si>
    <t>IEC Ref</t>
  </si>
  <si>
    <t>Application</t>
  </si>
  <si>
    <t>Voltage Level</t>
  </si>
  <si>
    <t>Ferrule Color</t>
  </si>
  <si>
    <t>IEC 60446</t>
  </si>
  <si>
    <t>IEC 60584</t>
  </si>
  <si>
    <t>2. CABLE TYPE REFERENCE — SPECIFICATIONS</t>
  </si>
  <si>
    <t>Cable Code</t>
  </si>
  <si>
    <t>Cable Description</t>
  </si>
  <si>
    <t>Standard</t>
  </si>
  <si>
    <t>Outer Color</t>
  </si>
  <si>
    <t>Temp Range</t>
  </si>
  <si>
    <t>Min Bend Radius</t>
  </si>
  <si>
    <t>AS/NZS 5000.1</t>
  </si>
  <si>
    <t>IEC 60502</t>
  </si>
  <si>
    <t>IEC 60228</t>
  </si>
  <si>
    <t>IEC 61156</t>
  </si>
  <si>
    <t>3. ABBREVIATIONS &amp; TAG CODES</t>
  </si>
  <si>
    <t>Abbreviation</t>
  </si>
  <si>
    <t>Meaning</t>
  </si>
  <si>
    <t>4. APPLICABLE STANDARDS &amp; CODES</t>
  </si>
  <si>
    <t>Title</t>
  </si>
  <si>
    <t>Applies To</t>
  </si>
  <si>
    <t>IEC 60204-1</t>
  </si>
  <si>
    <t>Safety of Machinery – Electrical Equipment</t>
  </si>
  <si>
    <t>Conductors of Insulated Cables</t>
  </si>
  <si>
    <t>Wire sizing and classification</t>
  </si>
  <si>
    <t>Brown/Black/Grey/Blue/G-Y</t>
  </si>
  <si>
    <t>LV power cable specs</t>
  </si>
  <si>
    <t>Thermocouples</t>
  </si>
  <si>
    <t>TC types and extension cables</t>
  </si>
  <si>
    <t>J, K, T, E type</t>
  </si>
  <si>
    <t>IEC 61131-2</t>
  </si>
  <si>
    <t>PLCs – Equipment Requirements</t>
  </si>
  <si>
    <t>PLC hardware I/O specs</t>
  </si>
  <si>
    <t>Signal levels, filtering</t>
  </si>
  <si>
    <t>Data Cables for Digital Communications</t>
  </si>
  <si>
    <t>Cat6 and RS485</t>
  </si>
  <si>
    <t>AS/NZS 3000</t>
  </si>
  <si>
    <t>Wiring Rules (Australia/NZ)</t>
  </si>
  <si>
    <t>All electrical installations</t>
  </si>
  <si>
    <t>Local regulatory compliance</t>
  </si>
  <si>
    <t>Electric Cables – Polymeric Insulated</t>
  </si>
  <si>
    <t>LV power and control cables</t>
  </si>
  <si>
    <t>Australian cable standard</t>
  </si>
  <si>
    <t>IEC 61000-4-5</t>
  </si>
  <si>
    <t>EMC – Surge Immunity</t>
  </si>
  <si>
    <t>Panel surge protection</t>
  </si>
  <si>
    <t>Cable segregation distances</t>
  </si>
  <si>
    <t>PROJECT CONFIGURATION — VARIABLE DEFINITIONS</t>
  </si>
  <si>
    <t>All sheets reference these cells. Change a value here and it propagates everywhere automatically.</t>
  </si>
  <si>
    <t>SECTION 1 — PROJECT IDENTITY</t>
  </si>
  <si>
    <t>SECTION 2 — PLC PLATFORM (WAGO CC100 751-9402)</t>
  </si>
  <si>
    <t>SECTION 3 — ELECTRICAL SPECIFICATIONS</t>
  </si>
  <si>
    <t>SECTION 4 — WAGO CC100 I/O CHANNEL MAP (On-Board I/O)</t>
  </si>
  <si>
    <t>SECTION 5 — STANDARDS &amp; REFERENCES</t>
  </si>
  <si>
    <t>SECTION 6 — DOCUMENT REFERENCES</t>
  </si>
  <si>
    <t>Variable Name</t>
  </si>
  <si>
    <t>Value</t>
  </si>
  <si>
    <t>Unit / Notes</t>
  </si>
  <si>
    <t>Used In</t>
  </si>
  <si>
    <t>Updated</t>
  </si>
  <si>
    <t>Source</t>
  </si>
  <si>
    <t>ProjectName</t>
  </si>
  <si>
    <t>Project Title</t>
  </si>
  <si>
    <t>All Sheets</t>
  </si>
  <si>
    <t>Client Brief</t>
  </si>
  <si>
    <t>ProjectNumber</t>
  </si>
  <si>
    <t>Project ID</t>
  </si>
  <si>
    <t>All Sheets – Headers</t>
  </si>
  <si>
    <t>PM System</t>
  </si>
  <si>
    <t>ClientName</t>
  </si>
  <si>
    <t>Client</t>
  </si>
  <si>
    <t>Contract</t>
  </si>
  <si>
    <t>SiteLocation</t>
  </si>
  <si>
    <t>Location</t>
  </si>
  <si>
    <t>Cover, TBL</t>
  </si>
  <si>
    <t>Site Survey</t>
  </si>
  <si>
    <t>PLCPlatform</t>
  </si>
  <si>
    <t>WAGO Compact Controller 100</t>
  </si>
  <si>
    <t>Brand / Series</t>
  </si>
  <si>
    <t>Cover, IO List, TBL</t>
  </si>
  <si>
    <t>WAGO 751-9402 Datasheet</t>
  </si>
  <si>
    <t>PLCModelNo</t>
  </si>
  <si>
    <t>751-9402</t>
  </si>
  <si>
    <t>Part Number</t>
  </si>
  <si>
    <t>wago.com/global/p/751-9402</t>
  </si>
  <si>
    <t>PLCProgEnv</t>
  </si>
  <si>
    <t>CODESYS V3.5</t>
  </si>
  <si>
    <t>IDE / Runtime</t>
  </si>
  <si>
    <t>Cover, Wiring Legend</t>
  </si>
  <si>
    <t>WAGO firmware docs</t>
  </si>
  <si>
    <t>PLCComms</t>
  </si>
  <si>
    <t>Modbus TCP, EtherNet/IP, PROFINET, EtherCAT, BACnet, MQTT</t>
  </si>
  <si>
    <t>Protocols</t>
  </si>
  <si>
    <t>Cover, Legend</t>
  </si>
  <si>
    <t>WAGO product page</t>
  </si>
  <si>
    <t>PLCConnType</t>
  </si>
  <si>
    <t>picoMAX® CAGE CLAMP® push-in</t>
  </si>
  <si>
    <t>I/O Connector Type</t>
  </si>
  <si>
    <t>IO List, TBL</t>
  </si>
  <si>
    <t>WAGO datasheet</t>
  </si>
  <si>
    <t>PLCRating</t>
  </si>
  <si>
    <t>IP20 / DIN Rail Mount / 24 VDC</t>
  </si>
  <si>
    <t>Protection / Mounting</t>
  </si>
  <si>
    <t>WAGO 751-9402 spec</t>
  </si>
  <si>
    <t>VoltageControl</t>
  </si>
  <si>
    <t>Control Supply</t>
  </si>
  <si>
    <t>Cover, IO List, TBL, Legend</t>
  </si>
  <si>
    <t>VoltagePower</t>
  </si>
  <si>
    <t>Main Supply</t>
  </si>
  <si>
    <t>Site supply spec</t>
  </si>
  <si>
    <t>EnclosureRating</t>
  </si>
  <si>
    <t>IP Rating</t>
  </si>
  <si>
    <t>IEC 60529</t>
  </si>
  <si>
    <t>Channel Label</t>
  </si>
  <si>
    <t>CODESYS Addr</t>
  </si>
  <si>
    <t>Connector</t>
  </si>
  <si>
    <t>DI.1</t>
  </si>
  <si>
    <t>%IX0.0</t>
  </si>
  <si>
    <t>X11 – Pin 1</t>
  </si>
  <si>
    <t>On-board: 8 dedicated DI, 2.8 mA</t>
  </si>
  <si>
    <t>DI.2</t>
  </si>
  <si>
    <t>%IX0.1</t>
  </si>
  <si>
    <t>X11 – Pin 2</t>
  </si>
  <si>
    <t>24 VDC sinking, RC filter 5µs</t>
  </si>
  <si>
    <t>DI.3</t>
  </si>
  <si>
    <t>%IX0.2</t>
  </si>
  <si>
    <t>X11 – Pin 3</t>
  </si>
  <si>
    <t>DI.4</t>
  </si>
  <si>
    <t>%IX0.3</t>
  </si>
  <si>
    <t>X11 – Pin 4</t>
  </si>
  <si>
    <t>DI.5</t>
  </si>
  <si>
    <t>%IX0.4</t>
  </si>
  <si>
    <t>X11 – Pin 5</t>
  </si>
  <si>
    <t>DI.6</t>
  </si>
  <si>
    <t>%IX0.5</t>
  </si>
  <si>
    <t>X11 – Pin 6</t>
  </si>
  <si>
    <t>DI.7</t>
  </si>
  <si>
    <t>%IX0.6</t>
  </si>
  <si>
    <t>X11 – Pin 7</t>
  </si>
  <si>
    <t>DI.8</t>
  </si>
  <si>
    <t>%IX0.7</t>
  </si>
  <si>
    <t>X11 – Pin 8</t>
  </si>
  <si>
    <t>DIO.1</t>
  </si>
  <si>
    <t>%IX1.0</t>
  </si>
  <si>
    <t>DI/DO 24VDC</t>
  </si>
  <si>
    <t>X12 – Pin 1</t>
  </si>
  <si>
    <t>8 configurable DIO; set in CODESYS</t>
  </si>
  <si>
    <t>DIO.2</t>
  </si>
  <si>
    <t>%IX1.1</t>
  </si>
  <si>
    <t>X12 – Pin 2</t>
  </si>
  <si>
    <t>Configure as DI or DO per channel</t>
  </si>
  <si>
    <t>DIO.3</t>
  </si>
  <si>
    <t>%IX1.2</t>
  </si>
  <si>
    <t>X12 – Pin 3</t>
  </si>
  <si>
    <t>DIO.4</t>
  </si>
  <si>
    <t>%IX1.3</t>
  </si>
  <si>
    <t>X12 – Pin 4</t>
  </si>
  <si>
    <t>DIO.5</t>
  </si>
  <si>
    <t>%QX1.4</t>
  </si>
  <si>
    <t>X12 – Pin 5</t>
  </si>
  <si>
    <t>Configured as DO, 0.5 A max</t>
  </si>
  <si>
    <t>DIO.6</t>
  </si>
  <si>
    <t>%QX1.5</t>
  </si>
  <si>
    <t>X12 – Pin 6</t>
  </si>
  <si>
    <t>DIO.7</t>
  </si>
  <si>
    <t>%QX1.6</t>
  </si>
  <si>
    <t>X12 – Pin 7</t>
  </si>
  <si>
    <t>DIO.8</t>
  </si>
  <si>
    <t>%QX1.7</t>
  </si>
  <si>
    <t>X12 – Pin 8</t>
  </si>
  <si>
    <t>DIO.1*</t>
  </si>
  <si>
    <t>%QX1.0</t>
  </si>
  <si>
    <t>If needed; DIO re-assigned</t>
  </si>
  <si>
    <t>DIO.2*</t>
  </si>
  <si>
    <t>%QX1.1</t>
  </si>
  <si>
    <t>DIO.3*</t>
  </si>
  <si>
    <t>%QX1.2</t>
  </si>
  <si>
    <t>AI.1</t>
  </si>
  <si>
    <t>%IW0</t>
  </si>
  <si>
    <t>AI 4-20mA / 0-10V</t>
  </si>
  <si>
    <t>X13 – AI1+/AI1-</t>
  </si>
  <si>
    <t>2 dedicated AI; 16-bit resolution</t>
  </si>
  <si>
    <t>AI.2</t>
  </si>
  <si>
    <t>%IW2</t>
  </si>
  <si>
    <t>X13 – AI2+/AI2-</t>
  </si>
  <si>
    <t>NI.1</t>
  </si>
  <si>
    <t>%IW4</t>
  </si>
  <si>
    <t>NI1K/PT1K RTD</t>
  </si>
  <si>
    <t>X14 – NI1+/NI1-</t>
  </si>
  <si>
    <t>2 RTD inputs (NI1000/PT1000)</t>
  </si>
  <si>
    <t>AIO.1</t>
  </si>
  <si>
    <t>%QW0</t>
  </si>
  <si>
    <t>AO 4-20mA / 0-10V</t>
  </si>
  <si>
    <t>X13 – AIO1</t>
  </si>
  <si>
    <t>2 configurable AI/AO; 12-bit</t>
  </si>
  <si>
    <t>Std_Wiring</t>
  </si>
  <si>
    <t>Safety of Machinery</t>
  </si>
  <si>
    <t>IEC</t>
  </si>
  <si>
    <t>Std_WireColor</t>
  </si>
  <si>
    <t>Wire Colour Identification</t>
  </si>
  <si>
    <t>Legend</t>
  </si>
  <si>
    <t>Std_Cables</t>
  </si>
  <si>
    <t>Electric Cables – Polymeric</t>
  </si>
  <si>
    <t>Standards AU</t>
  </si>
  <si>
    <t>Std_LocalWire</t>
  </si>
  <si>
    <t>Std_PLC_HW</t>
  </si>
  <si>
    <t>IO List, Legend</t>
  </si>
  <si>
    <t>DrawingRef</t>
  </si>
  <si>
    <t>Drawing Range</t>
  </si>
  <si>
    <t>Doc Control</t>
  </si>
  <si>
    <t>PreparedBy</t>
  </si>
  <si>
    <t>Prepared By</t>
  </si>
  <si>
    <t>ApprovedBy</t>
  </si>
  <si>
    <t>Approved By</t>
  </si>
  <si>
    <t>RevStatus</t>
  </si>
  <si>
    <t>Revision Status</t>
  </si>
  <si>
    <t>Engineer</t>
  </si>
  <si>
    <t>Lead Engineer</t>
  </si>
  <si>
    <t>Discipline</t>
  </si>
  <si>
    <t>Conduit / Tray</t>
  </si>
  <si>
    <t>DIGITAL INPUTS (DI) — 24 VDC  |  CC100: X11 (DI.1–DI.8) and X12 (DIO.1–DIO.8 configurable as DI)</t>
  </si>
  <si>
    <t>DIGITAL OUTPUTS (DO) — 24 VDC  |  CC100: X12 (DIO channels configured as DO)</t>
  </si>
  <si>
    <t>ANALOG INPUTS (AI) — 4-20 mA / 0-10 V / NI1K / PT1K  |  CC100: X13 (AI, AIO) and X14 (NI/PT)</t>
  </si>
  <si>
    <t>ANALOG OUTPUTS (AO) — 4-20 mA / 0-10 V  |  CC100: X13 (AIO channels configured as AO)</t>
  </si>
  <si>
    <t>Panel ID:</t>
  </si>
  <si>
    <t>Panel Name:</t>
  </si>
  <si>
    <t>DIN RAIL 1 — Power Supply &amp; Earth Terminals</t>
  </si>
  <si>
    <t>Cross-Section mm²</t>
  </si>
  <si>
    <t>DIN RAIL 2 — Digital I/O Interface Terminals  |  CC100: X11 (DI.1–8) / X12 (DIO.1–8)</t>
  </si>
  <si>
    <t>DIN RAIL 3 — Analog Signal Interface Terminals  |  CC100: X13 (AI/AIO) / X14 (NI/PT)</t>
  </si>
  <si>
    <t>Panel wiring, control circuits, safety</t>
  </si>
  <si>
    <t>Current edition</t>
  </si>
  <si>
    <t>Identification of Conductors by Colours</t>
  </si>
  <si>
    <t>Wire colour coding</t>
  </si>
  <si>
    <t>Power Cables 1kV–30kV</t>
  </si>
  <si>
    <t>XLPE and PVC</t>
  </si>
  <si>
    <t>Ethernet and comms cables</t>
  </si>
  <si>
    <t>5. WAGO CC100 (751-9402) I/O CONNECTOR REFERENCE</t>
  </si>
  <si>
    <t>Channel(s)</t>
  </si>
  <si>
    <t>CODESYS Address</t>
  </si>
  <si>
    <t>X11</t>
  </si>
  <si>
    <t>DI.1 – DI.8  (8 channels)</t>
  </si>
  <si>
    <t>Digital Input 24VDC, sinking, 2.8 mA</t>
  </si>
  <si>
    <t xml:space="preserve">  %IX0.0 – %IX0.7</t>
  </si>
  <si>
    <t>X12</t>
  </si>
  <si>
    <t>DIO.1 – DIO.8  (8 channels)</t>
  </si>
  <si>
    <t>Configurable DI or DO 24VDC, 0.5 A</t>
  </si>
  <si>
    <t xml:space="preserve">  %IX1.0–%IX1.7 / %QX1.0–%QX1.7</t>
  </si>
  <si>
    <t>X13 (AI)</t>
  </si>
  <si>
    <t>AI.1 – AI.2  (2 channels)</t>
  </si>
  <si>
    <t>Analog Input 4-20 mA / 0-10 V, 16-bit</t>
  </si>
  <si>
    <t xml:space="preserve">  %IW0, %IW2</t>
  </si>
  <si>
    <t>X13 (AIO)</t>
  </si>
  <si>
    <t>AIO.1 – AIO.2  (2 channels)</t>
  </si>
  <si>
    <t>Configurable AI or AO 4-20 mA / 0-10 V</t>
  </si>
  <si>
    <t xml:space="preserve">  %IW4, %IW6 / %QW0, %QW2</t>
  </si>
  <si>
    <t>X14 (NI/PT)</t>
  </si>
  <si>
    <t>NI.1 – NI.2  (2 channels)</t>
  </si>
  <si>
    <t>NI1000 / PT1000 RTD temperature input</t>
  </si>
  <si>
    <t xml:space="preserve">  %IW8, %IW10</t>
  </si>
  <si>
    <t>RS-485 (×2)</t>
  </si>
  <si>
    <t>Port 1 and Port 2</t>
  </si>
  <si>
    <t>RS-485 serial: Modbus RTU, custom serial</t>
  </si>
  <si>
    <t xml:space="preserve">  SysLibCom / ModbusRTU lib</t>
  </si>
  <si>
    <t>Ethernet (×2)</t>
  </si>
  <si>
    <t>X1 (ETH1), X2 (ETH2)</t>
  </si>
  <si>
    <t>Modbus TCP, PROFINET, EtherCAT, BACnet, MQTT</t>
  </si>
  <si>
    <t xml:space="preserve">  Configured via WBM / CODESYS</t>
  </si>
  <si>
    <t>Project Documentation Package</t>
  </si>
  <si>
    <t>2. Signal cables (4–20 mA) must be segregated from power cables (minimum 200 mm separation).</t>
  </si>
  <si>
    <t>4. Minimum cable bending radius: 6× cable OD (multi-core), 8× cable OD (armoured).</t>
  </si>
  <si>
    <t>6. WAGO CC100 I/O: 8 DI (X11), 8 configurable DIO (X12), 2 AI + 2 AIO (X13), 2 NI/PT (X14). All on-board; 24 VDC.</t>
  </si>
  <si>
    <t>8. [Add project-specific notes here]</t>
  </si>
  <si>
    <t>Galvanizing System</t>
  </si>
  <si>
    <t>PRJ-26001</t>
  </si>
  <si>
    <t>Howest - Cyber3Lab</t>
  </si>
  <si>
    <t>Building J - Cyber3Lab, Howest Brugge, Belgium</t>
  </si>
  <si>
    <t>Laurens Singier</t>
  </si>
  <si>
    <t>Attila Peter Szucs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</si>
</sst>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rgb="FF0000FF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9"/>
      <color rgb="FF1F3864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9"/>
      <color rgb="FFAAAAAA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7" fillId="6" borderId="0" xfId="0" applyFont="1" applyFill="1"/>
    <xf numFmtId="0" fontId="3" fillId="3" borderId="0" xfId="0" applyFont="1" applyFill="1" applyAlignment="1">
      <alignment horizontal="center" wrapText="1"/>
    </xf>
    <xf numFmtId="0" fontId="10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E2D1B9-A184-4F18-815E-CCF9AB667F71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0845-61AA-4F96-A162-26B27F5D50FC}">
  <dimension ref="A1:F70"/>
  <sheetViews>
    <sheetView tabSelected="1" workbookViewId="0">
      <pane ySplit="2" topLeftCell="A3" activePane="bottomLeft" state="frozen"/>
      <selection pane="bottomLeft" activeCell="F62" sqref="F62"/>
    </sheetView>
  </sheetViews>
  <sheetFormatPr defaultRowHeight="15" x14ac:dyDescent="0.25"/>
  <cols>
    <col min="1" max="1" width="24.7109375" customWidth="1"/>
    <col min="2" max="2" width="45.7109375" customWidth="1"/>
    <col min="3" max="3" width="34.28515625" customWidth="1"/>
    <col min="4" max="4" width="32.42578125" customWidth="1"/>
    <col min="5" max="5" width="15.28515625" customWidth="1"/>
    <col min="6" max="6" width="28.5703125" customWidth="1"/>
  </cols>
  <sheetData>
    <row r="1" spans="1:6" ht="27.95" customHeight="1" x14ac:dyDescent="0.25">
      <c r="A1" s="27" t="s">
        <v>170</v>
      </c>
      <c r="B1" s="28"/>
      <c r="C1" s="28"/>
      <c r="D1" s="28"/>
      <c r="E1" s="28"/>
      <c r="F1" s="28"/>
    </row>
    <row r="2" spans="1:6" ht="27.75" customHeight="1" x14ac:dyDescent="0.25">
      <c r="A2" s="29" t="s">
        <v>171</v>
      </c>
      <c r="B2" s="29"/>
      <c r="C2" s="29"/>
      <c r="D2" s="29"/>
      <c r="E2" s="29"/>
      <c r="F2" s="29"/>
    </row>
    <row r="3" spans="1:6" ht="30.75" customHeight="1" x14ac:dyDescent="0.25">
      <c r="A3" s="4" t="s">
        <v>172</v>
      </c>
      <c r="B3" s="3"/>
      <c r="C3" s="3"/>
      <c r="D3" s="3"/>
      <c r="E3" s="3"/>
      <c r="F3" s="3"/>
    </row>
    <row r="4" spans="1:6" ht="18" customHeight="1" x14ac:dyDescent="0.25">
      <c r="A4" s="5" t="s">
        <v>178</v>
      </c>
      <c r="B4" s="5" t="s">
        <v>179</v>
      </c>
      <c r="C4" s="5" t="s">
        <v>180</v>
      </c>
      <c r="D4" s="5" t="s">
        <v>181</v>
      </c>
      <c r="E4" s="5" t="s">
        <v>182</v>
      </c>
      <c r="F4" s="5" t="s">
        <v>183</v>
      </c>
    </row>
    <row r="5" spans="1:6" ht="18" customHeight="1" x14ac:dyDescent="0.25">
      <c r="A5" s="8" t="s">
        <v>184</v>
      </c>
      <c r="B5" s="7" t="s">
        <v>396</v>
      </c>
      <c r="C5" s="3" t="s">
        <v>185</v>
      </c>
      <c r="D5" s="3" t="s">
        <v>186</v>
      </c>
      <c r="E5" s="3">
        <v>2025</v>
      </c>
      <c r="F5" s="3" t="s">
        <v>187</v>
      </c>
    </row>
    <row r="6" spans="1:6" ht="18" customHeight="1" x14ac:dyDescent="0.25">
      <c r="A6" s="8" t="s">
        <v>188</v>
      </c>
      <c r="B6" s="7" t="s">
        <v>397</v>
      </c>
      <c r="C6" s="3" t="s">
        <v>189</v>
      </c>
      <c r="D6" s="3" t="s">
        <v>190</v>
      </c>
      <c r="E6" s="3">
        <v>2025</v>
      </c>
      <c r="F6" s="3" t="s">
        <v>191</v>
      </c>
    </row>
    <row r="7" spans="1:6" ht="18" customHeight="1" x14ac:dyDescent="0.25">
      <c r="A7" s="8" t="s">
        <v>192</v>
      </c>
      <c r="B7" s="7" t="s">
        <v>398</v>
      </c>
      <c r="C7" s="3" t="s">
        <v>193</v>
      </c>
      <c r="D7" s="3" t="s">
        <v>30</v>
      </c>
      <c r="E7" s="3">
        <v>2025</v>
      </c>
      <c r="F7" s="3" t="s">
        <v>194</v>
      </c>
    </row>
    <row r="8" spans="1:6" ht="18" customHeight="1" x14ac:dyDescent="0.25">
      <c r="A8" s="8" t="s">
        <v>195</v>
      </c>
      <c r="B8" s="7" t="s">
        <v>399</v>
      </c>
      <c r="C8" s="3" t="s">
        <v>196</v>
      </c>
      <c r="D8" s="3" t="s">
        <v>197</v>
      </c>
      <c r="E8" s="3">
        <v>2025</v>
      </c>
      <c r="F8" s="3" t="s">
        <v>198</v>
      </c>
    </row>
    <row r="9" spans="1:6" ht="30.75" customHeight="1" x14ac:dyDescent="0.25">
      <c r="A9" s="4" t="s">
        <v>173</v>
      </c>
      <c r="B9" s="3"/>
      <c r="C9" s="3"/>
      <c r="D9" s="3"/>
      <c r="E9" s="3"/>
      <c r="F9" s="3"/>
    </row>
    <row r="10" spans="1:6" ht="18" customHeight="1" x14ac:dyDescent="0.25">
      <c r="A10" s="5" t="s">
        <v>178</v>
      </c>
      <c r="B10" s="5" t="s">
        <v>179</v>
      </c>
      <c r="C10" s="5" t="s">
        <v>180</v>
      </c>
      <c r="D10" s="5" t="s">
        <v>181</v>
      </c>
      <c r="E10" s="5" t="s">
        <v>182</v>
      </c>
      <c r="F10" s="5" t="s">
        <v>183</v>
      </c>
    </row>
    <row r="11" spans="1:6" ht="18" customHeight="1" x14ac:dyDescent="0.25">
      <c r="A11" s="8" t="s">
        <v>199</v>
      </c>
      <c r="B11" s="7" t="s">
        <v>200</v>
      </c>
      <c r="C11" s="3" t="s">
        <v>201</v>
      </c>
      <c r="D11" s="3" t="s">
        <v>202</v>
      </c>
      <c r="E11" s="3">
        <v>2025</v>
      </c>
      <c r="F11" s="3" t="s">
        <v>203</v>
      </c>
    </row>
    <row r="12" spans="1:6" ht="18" customHeight="1" x14ac:dyDescent="0.25">
      <c r="A12" s="8" t="s">
        <v>204</v>
      </c>
      <c r="B12" s="7" t="s">
        <v>205</v>
      </c>
      <c r="C12" s="3" t="s">
        <v>206</v>
      </c>
      <c r="D12" s="3" t="s">
        <v>202</v>
      </c>
      <c r="E12" s="3">
        <v>2025</v>
      </c>
      <c r="F12" s="3" t="s">
        <v>207</v>
      </c>
    </row>
    <row r="13" spans="1:6" ht="18" customHeight="1" x14ac:dyDescent="0.25">
      <c r="A13" s="8" t="s">
        <v>208</v>
      </c>
      <c r="B13" s="7" t="s">
        <v>209</v>
      </c>
      <c r="C13" s="3" t="s">
        <v>210</v>
      </c>
      <c r="D13" s="3" t="s">
        <v>211</v>
      </c>
      <c r="E13" s="3">
        <v>2025</v>
      </c>
      <c r="F13" s="3" t="s">
        <v>212</v>
      </c>
    </row>
    <row r="14" spans="1:6" ht="18" customHeight="1" x14ac:dyDescent="0.25">
      <c r="A14" s="8" t="s">
        <v>213</v>
      </c>
      <c r="B14" s="7" t="s">
        <v>214</v>
      </c>
      <c r="C14" s="3" t="s">
        <v>215</v>
      </c>
      <c r="D14" s="3" t="s">
        <v>216</v>
      </c>
      <c r="E14" s="3">
        <v>2025</v>
      </c>
      <c r="F14" s="3" t="s">
        <v>217</v>
      </c>
    </row>
    <row r="15" spans="1:6" ht="18" customHeight="1" x14ac:dyDescent="0.25">
      <c r="A15" s="8" t="s">
        <v>218</v>
      </c>
      <c r="B15" s="7" t="s">
        <v>219</v>
      </c>
      <c r="C15" s="3" t="s">
        <v>220</v>
      </c>
      <c r="D15" s="3" t="s">
        <v>221</v>
      </c>
      <c r="E15" s="3">
        <v>2025</v>
      </c>
      <c r="F15" s="3" t="s">
        <v>222</v>
      </c>
    </row>
    <row r="16" spans="1:6" ht="18" customHeight="1" x14ac:dyDescent="0.25">
      <c r="A16" s="8" t="s">
        <v>223</v>
      </c>
      <c r="B16" s="7" t="s">
        <v>224</v>
      </c>
      <c r="C16" s="3" t="s">
        <v>225</v>
      </c>
      <c r="D16" s="3" t="s">
        <v>197</v>
      </c>
      <c r="E16" s="3">
        <v>2025</v>
      </c>
      <c r="F16" s="3" t="s">
        <v>226</v>
      </c>
    </row>
    <row r="17" spans="1:6" ht="30.75" customHeight="1" x14ac:dyDescent="0.25">
      <c r="A17" s="4" t="s">
        <v>174</v>
      </c>
      <c r="B17" s="3"/>
      <c r="C17" s="3"/>
      <c r="D17" s="3"/>
      <c r="E17" s="3"/>
      <c r="F17" s="3"/>
    </row>
    <row r="18" spans="1:6" ht="18" customHeight="1" x14ac:dyDescent="0.25">
      <c r="A18" s="5" t="s">
        <v>178</v>
      </c>
      <c r="B18" s="5" t="s">
        <v>179</v>
      </c>
      <c r="C18" s="5" t="s">
        <v>180</v>
      </c>
      <c r="D18" s="5" t="s">
        <v>181</v>
      </c>
      <c r="E18" s="5" t="s">
        <v>182</v>
      </c>
      <c r="F18" s="5" t="s">
        <v>183</v>
      </c>
    </row>
    <row r="19" spans="1:6" ht="18" customHeight="1" x14ac:dyDescent="0.25">
      <c r="A19" s="8" t="s">
        <v>227</v>
      </c>
      <c r="B19" s="7" t="s">
        <v>13</v>
      </c>
      <c r="C19" s="3" t="s">
        <v>228</v>
      </c>
      <c r="D19" s="3" t="s">
        <v>229</v>
      </c>
      <c r="E19" s="3">
        <v>2025</v>
      </c>
      <c r="F19" s="3" t="s">
        <v>144</v>
      </c>
    </row>
    <row r="20" spans="1:6" ht="18" customHeight="1" x14ac:dyDescent="0.25">
      <c r="A20" s="8" t="s">
        <v>230</v>
      </c>
      <c r="B20" s="7" t="s">
        <v>15</v>
      </c>
      <c r="C20" s="3" t="s">
        <v>231</v>
      </c>
      <c r="D20" s="3" t="s">
        <v>197</v>
      </c>
      <c r="E20" s="3">
        <v>2025</v>
      </c>
      <c r="F20" s="3" t="s">
        <v>232</v>
      </c>
    </row>
    <row r="21" spans="1:6" ht="18" customHeight="1" x14ac:dyDescent="0.25">
      <c r="A21" s="8" t="s">
        <v>233</v>
      </c>
      <c r="B21" s="7" t="s">
        <v>17</v>
      </c>
      <c r="C21" s="3" t="s">
        <v>234</v>
      </c>
      <c r="D21" s="3" t="s">
        <v>197</v>
      </c>
      <c r="E21" s="3">
        <v>2025</v>
      </c>
      <c r="F21" s="3" t="s">
        <v>235</v>
      </c>
    </row>
    <row r="22" spans="1:6" ht="30.75" customHeight="1" x14ac:dyDescent="0.25">
      <c r="A22" s="4" t="s">
        <v>175</v>
      </c>
      <c r="B22" s="3"/>
      <c r="C22" s="3"/>
      <c r="D22" s="3"/>
      <c r="E22" s="3"/>
      <c r="F22" s="3"/>
    </row>
    <row r="23" spans="1:6" ht="18" customHeight="1" x14ac:dyDescent="0.25">
      <c r="A23" s="5" t="s">
        <v>178</v>
      </c>
      <c r="B23" s="5" t="s">
        <v>179</v>
      </c>
      <c r="C23" s="5" t="s">
        <v>180</v>
      </c>
      <c r="D23" s="5" t="s">
        <v>181</v>
      </c>
      <c r="E23" s="5" t="s">
        <v>182</v>
      </c>
      <c r="F23" s="5" t="s">
        <v>183</v>
      </c>
    </row>
    <row r="24" spans="1:6" ht="18" customHeight="1" x14ac:dyDescent="0.25">
      <c r="A24" s="6" t="s">
        <v>65</v>
      </c>
      <c r="B24" s="6" t="s">
        <v>236</v>
      </c>
      <c r="C24" s="6" t="s">
        <v>237</v>
      </c>
      <c r="D24" s="6" t="s">
        <v>66</v>
      </c>
      <c r="E24" s="6" t="s">
        <v>238</v>
      </c>
      <c r="F24" s="6" t="s">
        <v>107</v>
      </c>
    </row>
    <row r="25" spans="1:6" ht="18" customHeight="1" x14ac:dyDescent="0.25">
      <c r="A25" s="3" t="s">
        <v>73</v>
      </c>
      <c r="B25" s="3" t="s">
        <v>239</v>
      </c>
      <c r="C25" s="3" t="s">
        <v>240</v>
      </c>
      <c r="D25" s="3" t="s">
        <v>74</v>
      </c>
      <c r="E25" s="3" t="s">
        <v>241</v>
      </c>
      <c r="F25" s="3" t="s">
        <v>242</v>
      </c>
    </row>
    <row r="26" spans="1:6" ht="18" customHeight="1" x14ac:dyDescent="0.25">
      <c r="A26" s="3" t="s">
        <v>75</v>
      </c>
      <c r="B26" s="3" t="s">
        <v>243</v>
      </c>
      <c r="C26" s="3" t="s">
        <v>244</v>
      </c>
      <c r="D26" s="3" t="s">
        <v>74</v>
      </c>
      <c r="E26" s="3" t="s">
        <v>245</v>
      </c>
      <c r="F26" s="3" t="s">
        <v>246</v>
      </c>
    </row>
    <row r="27" spans="1:6" ht="18" customHeight="1" x14ac:dyDescent="0.25">
      <c r="A27" s="3" t="s">
        <v>76</v>
      </c>
      <c r="B27" s="3" t="s">
        <v>247</v>
      </c>
      <c r="C27" s="3" t="s">
        <v>248</v>
      </c>
      <c r="D27" s="3" t="s">
        <v>74</v>
      </c>
      <c r="E27" s="3" t="s">
        <v>249</v>
      </c>
      <c r="F27" s="3"/>
    </row>
    <row r="28" spans="1:6" ht="18" customHeight="1" x14ac:dyDescent="0.25">
      <c r="A28" s="3" t="s">
        <v>77</v>
      </c>
      <c r="B28" s="3" t="s">
        <v>250</v>
      </c>
      <c r="C28" s="3" t="s">
        <v>251</v>
      </c>
      <c r="D28" s="3" t="s">
        <v>74</v>
      </c>
      <c r="E28" s="3" t="s">
        <v>252</v>
      </c>
      <c r="F28" s="3"/>
    </row>
    <row r="29" spans="1:6" ht="18" customHeight="1" x14ac:dyDescent="0.25">
      <c r="A29" s="3" t="s">
        <v>78</v>
      </c>
      <c r="B29" s="3" t="s">
        <v>253</v>
      </c>
      <c r="C29" s="3" t="s">
        <v>254</v>
      </c>
      <c r="D29" s="3" t="s">
        <v>74</v>
      </c>
      <c r="E29" s="3" t="s">
        <v>255</v>
      </c>
      <c r="F29" s="3"/>
    </row>
    <row r="30" spans="1:6" ht="18" customHeight="1" x14ac:dyDescent="0.25">
      <c r="A30" s="3" t="s">
        <v>79</v>
      </c>
      <c r="B30" s="3" t="s">
        <v>256</v>
      </c>
      <c r="C30" s="3" t="s">
        <v>257</v>
      </c>
      <c r="D30" s="3" t="s">
        <v>74</v>
      </c>
      <c r="E30" s="3" t="s">
        <v>258</v>
      </c>
      <c r="F30" s="3"/>
    </row>
    <row r="31" spans="1:6" ht="18" customHeight="1" x14ac:dyDescent="0.25">
      <c r="A31" s="3" t="s">
        <v>80</v>
      </c>
      <c r="B31" s="3" t="s">
        <v>259</v>
      </c>
      <c r="C31" s="3" t="s">
        <v>260</v>
      </c>
      <c r="D31" s="3" t="s">
        <v>74</v>
      </c>
      <c r="E31" s="3" t="s">
        <v>261</v>
      </c>
      <c r="F31" s="3"/>
    </row>
    <row r="32" spans="1:6" ht="18" customHeight="1" x14ac:dyDescent="0.25">
      <c r="A32" s="3" t="s">
        <v>81</v>
      </c>
      <c r="B32" s="3" t="s">
        <v>262</v>
      </c>
      <c r="C32" s="3" t="s">
        <v>263</v>
      </c>
      <c r="D32" s="3" t="s">
        <v>74</v>
      </c>
      <c r="E32" s="3" t="s">
        <v>264</v>
      </c>
      <c r="F32" s="3"/>
    </row>
    <row r="33" spans="1:6" ht="18" customHeight="1" x14ac:dyDescent="0.25">
      <c r="A33" s="3" t="s">
        <v>82</v>
      </c>
      <c r="B33" s="3" t="s">
        <v>265</v>
      </c>
      <c r="C33" s="3" t="s">
        <v>266</v>
      </c>
      <c r="D33" s="3" t="s">
        <v>267</v>
      </c>
      <c r="E33" s="3" t="s">
        <v>268</v>
      </c>
      <c r="F33" s="3" t="s">
        <v>269</v>
      </c>
    </row>
    <row r="34" spans="1:6" ht="18" customHeight="1" x14ac:dyDescent="0.25">
      <c r="A34" s="3" t="s">
        <v>83</v>
      </c>
      <c r="B34" s="3" t="s">
        <v>270</v>
      </c>
      <c r="C34" s="3" t="s">
        <v>271</v>
      </c>
      <c r="D34" s="3" t="s">
        <v>267</v>
      </c>
      <c r="E34" s="3" t="s">
        <v>272</v>
      </c>
      <c r="F34" s="3" t="s">
        <v>273</v>
      </c>
    </row>
    <row r="35" spans="1:6" ht="18" customHeight="1" x14ac:dyDescent="0.25">
      <c r="A35" s="3" t="s">
        <v>84</v>
      </c>
      <c r="B35" s="3" t="s">
        <v>274</v>
      </c>
      <c r="C35" s="3" t="s">
        <v>275</v>
      </c>
      <c r="D35" s="3" t="s">
        <v>267</v>
      </c>
      <c r="E35" s="3" t="s">
        <v>276</v>
      </c>
      <c r="F35" s="3"/>
    </row>
    <row r="36" spans="1:6" ht="18" customHeight="1" x14ac:dyDescent="0.25">
      <c r="A36" s="3" t="s">
        <v>85</v>
      </c>
      <c r="B36" s="3" t="s">
        <v>277</v>
      </c>
      <c r="C36" s="3" t="s">
        <v>278</v>
      </c>
      <c r="D36" s="3" t="s">
        <v>267</v>
      </c>
      <c r="E36" s="3" t="s">
        <v>279</v>
      </c>
      <c r="F36" s="3"/>
    </row>
    <row r="37" spans="1:6" ht="18" customHeight="1" x14ac:dyDescent="0.25">
      <c r="A37" s="3" t="s">
        <v>86</v>
      </c>
      <c r="B37" s="3" t="s">
        <v>280</v>
      </c>
      <c r="C37" s="3" t="s">
        <v>281</v>
      </c>
      <c r="D37" s="3" t="s">
        <v>87</v>
      </c>
      <c r="E37" s="3" t="s">
        <v>282</v>
      </c>
      <c r="F37" s="3" t="s">
        <v>283</v>
      </c>
    </row>
    <row r="38" spans="1:6" ht="18" customHeight="1" x14ac:dyDescent="0.25">
      <c r="A38" s="3" t="s">
        <v>88</v>
      </c>
      <c r="B38" s="3" t="s">
        <v>284</v>
      </c>
      <c r="C38" s="3" t="s">
        <v>285</v>
      </c>
      <c r="D38" s="3" t="s">
        <v>87</v>
      </c>
      <c r="E38" s="3" t="s">
        <v>286</v>
      </c>
      <c r="F38" s="3"/>
    </row>
    <row r="39" spans="1:6" ht="18" customHeight="1" x14ac:dyDescent="0.25">
      <c r="A39" s="3" t="s">
        <v>89</v>
      </c>
      <c r="B39" s="3" t="s">
        <v>287</v>
      </c>
      <c r="C39" s="3" t="s">
        <v>288</v>
      </c>
      <c r="D39" s="3" t="s">
        <v>87</v>
      </c>
      <c r="E39" s="3" t="s">
        <v>289</v>
      </c>
      <c r="F39" s="3"/>
    </row>
    <row r="40" spans="1:6" ht="18" customHeight="1" x14ac:dyDescent="0.25">
      <c r="A40" s="3" t="s">
        <v>90</v>
      </c>
      <c r="B40" s="3" t="s">
        <v>290</v>
      </c>
      <c r="C40" s="3" t="s">
        <v>291</v>
      </c>
      <c r="D40" s="3" t="s">
        <v>87</v>
      </c>
      <c r="E40" s="3" t="s">
        <v>292</v>
      </c>
      <c r="F40" s="3"/>
    </row>
    <row r="41" spans="1:6" ht="18" customHeight="1" x14ac:dyDescent="0.25">
      <c r="A41" s="3" t="s">
        <v>91</v>
      </c>
      <c r="B41" s="3" t="s">
        <v>293</v>
      </c>
      <c r="C41" s="3" t="s">
        <v>294</v>
      </c>
      <c r="D41" s="3" t="s">
        <v>87</v>
      </c>
      <c r="E41" s="3" t="s">
        <v>268</v>
      </c>
      <c r="F41" s="3" t="s">
        <v>295</v>
      </c>
    </row>
    <row r="42" spans="1:6" ht="18" customHeight="1" x14ac:dyDescent="0.25">
      <c r="A42" s="3" t="s">
        <v>92</v>
      </c>
      <c r="B42" s="3" t="s">
        <v>296</v>
      </c>
      <c r="C42" s="3" t="s">
        <v>297</v>
      </c>
      <c r="D42" s="3" t="s">
        <v>87</v>
      </c>
      <c r="E42" s="3" t="s">
        <v>272</v>
      </c>
      <c r="F42" s="3"/>
    </row>
    <row r="43" spans="1:6" ht="18" customHeight="1" x14ac:dyDescent="0.25">
      <c r="A43" s="3" t="s">
        <v>93</v>
      </c>
      <c r="B43" s="3" t="s">
        <v>298</v>
      </c>
      <c r="C43" s="3" t="s">
        <v>299</v>
      </c>
      <c r="D43" s="3" t="s">
        <v>87</v>
      </c>
      <c r="E43" s="3" t="s">
        <v>276</v>
      </c>
      <c r="F43" s="3"/>
    </row>
    <row r="44" spans="1:6" ht="18" customHeight="1" x14ac:dyDescent="0.25">
      <c r="A44" s="3" t="s">
        <v>94</v>
      </c>
      <c r="B44" s="3" t="s">
        <v>300</v>
      </c>
      <c r="C44" s="3" t="s">
        <v>301</v>
      </c>
      <c r="D44" s="3" t="s">
        <v>302</v>
      </c>
      <c r="E44" s="3" t="s">
        <v>303</v>
      </c>
      <c r="F44" s="3" t="s">
        <v>304</v>
      </c>
    </row>
    <row r="45" spans="1:6" ht="18" customHeight="1" x14ac:dyDescent="0.25">
      <c r="A45" s="3" t="s">
        <v>95</v>
      </c>
      <c r="B45" s="3" t="s">
        <v>305</v>
      </c>
      <c r="C45" s="3" t="s">
        <v>306</v>
      </c>
      <c r="D45" s="3" t="s">
        <v>302</v>
      </c>
      <c r="E45" s="3" t="s">
        <v>307</v>
      </c>
      <c r="F45" s="3"/>
    </row>
    <row r="46" spans="1:6" ht="18" customHeight="1" x14ac:dyDescent="0.25">
      <c r="A46" s="3" t="s">
        <v>96</v>
      </c>
      <c r="B46" s="3" t="s">
        <v>308</v>
      </c>
      <c r="C46" s="3" t="s">
        <v>309</v>
      </c>
      <c r="D46" s="3" t="s">
        <v>310</v>
      </c>
      <c r="E46" s="3" t="s">
        <v>311</v>
      </c>
      <c r="F46" s="3" t="s">
        <v>312</v>
      </c>
    </row>
    <row r="47" spans="1:6" ht="18" customHeight="1" x14ac:dyDescent="0.25">
      <c r="A47" s="3" t="s">
        <v>97</v>
      </c>
      <c r="B47" s="3" t="s">
        <v>313</v>
      </c>
      <c r="C47" s="3" t="s">
        <v>314</v>
      </c>
      <c r="D47" s="3" t="s">
        <v>315</v>
      </c>
      <c r="E47" s="3" t="s">
        <v>316</v>
      </c>
      <c r="F47" s="3" t="s">
        <v>317</v>
      </c>
    </row>
    <row r="48" spans="1:6" ht="30.75" customHeight="1" x14ac:dyDescent="0.25">
      <c r="A48" s="4" t="s">
        <v>176</v>
      </c>
      <c r="B48" s="3"/>
      <c r="C48" s="3"/>
      <c r="D48" s="3"/>
      <c r="E48" s="3"/>
      <c r="F48" s="3"/>
    </row>
    <row r="49" spans="1:6" ht="18" customHeight="1" x14ac:dyDescent="0.25">
      <c r="A49" s="5" t="s">
        <v>178</v>
      </c>
      <c r="B49" s="5" t="s">
        <v>179</v>
      </c>
      <c r="C49" s="5" t="s">
        <v>180</v>
      </c>
      <c r="D49" s="5" t="s">
        <v>181</v>
      </c>
      <c r="E49" s="5" t="s">
        <v>182</v>
      </c>
      <c r="F49" s="5" t="s">
        <v>183</v>
      </c>
    </row>
    <row r="50" spans="1:6" ht="18" customHeight="1" x14ac:dyDescent="0.25">
      <c r="A50" s="8" t="s">
        <v>318</v>
      </c>
      <c r="B50" s="7" t="s">
        <v>144</v>
      </c>
      <c r="C50" s="3" t="s">
        <v>319</v>
      </c>
      <c r="D50" s="3" t="s">
        <v>216</v>
      </c>
      <c r="E50" s="3">
        <v>2025</v>
      </c>
      <c r="F50" s="3" t="s">
        <v>320</v>
      </c>
    </row>
    <row r="51" spans="1:6" ht="18" customHeight="1" x14ac:dyDescent="0.25">
      <c r="A51" s="8" t="s">
        <v>321</v>
      </c>
      <c r="B51" s="7" t="s">
        <v>125</v>
      </c>
      <c r="C51" s="3" t="s">
        <v>322</v>
      </c>
      <c r="D51" s="3" t="s">
        <v>323</v>
      </c>
      <c r="E51" s="3">
        <v>2025</v>
      </c>
      <c r="F51" s="3" t="s">
        <v>320</v>
      </c>
    </row>
    <row r="52" spans="1:6" ht="18" customHeight="1" x14ac:dyDescent="0.25">
      <c r="A52" s="8" t="s">
        <v>324</v>
      </c>
      <c r="B52" s="7" t="s">
        <v>134</v>
      </c>
      <c r="C52" s="3" t="s">
        <v>325</v>
      </c>
      <c r="D52" s="3" t="s">
        <v>323</v>
      </c>
      <c r="E52" s="3">
        <v>2025</v>
      </c>
      <c r="F52" s="3" t="s">
        <v>326</v>
      </c>
    </row>
    <row r="53" spans="1:6" ht="18" customHeight="1" x14ac:dyDescent="0.25">
      <c r="A53" s="8" t="s">
        <v>327</v>
      </c>
      <c r="B53" s="7" t="s">
        <v>159</v>
      </c>
      <c r="C53" s="3" t="s">
        <v>160</v>
      </c>
      <c r="D53" s="3" t="s">
        <v>216</v>
      </c>
      <c r="E53" s="3">
        <v>2025</v>
      </c>
      <c r="F53" s="3" t="s">
        <v>326</v>
      </c>
    </row>
    <row r="54" spans="1:6" ht="18" customHeight="1" x14ac:dyDescent="0.25">
      <c r="A54" s="8" t="s">
        <v>328</v>
      </c>
      <c r="B54" s="7" t="s">
        <v>153</v>
      </c>
      <c r="C54" s="3" t="s">
        <v>154</v>
      </c>
      <c r="D54" s="3" t="s">
        <v>329</v>
      </c>
      <c r="E54" s="3">
        <v>2025</v>
      </c>
      <c r="F54" s="3" t="s">
        <v>320</v>
      </c>
    </row>
    <row r="55" spans="1:6" ht="30.75" customHeight="1" x14ac:dyDescent="0.25">
      <c r="A55" s="4" t="s">
        <v>177</v>
      </c>
      <c r="B55" s="3"/>
      <c r="C55" s="3"/>
      <c r="D55" s="3"/>
      <c r="E55" s="3"/>
      <c r="F55" s="3"/>
    </row>
    <row r="56" spans="1:6" ht="18" customHeight="1" x14ac:dyDescent="0.25">
      <c r="A56" s="5" t="s">
        <v>178</v>
      </c>
      <c r="B56" s="5" t="s">
        <v>179</v>
      </c>
      <c r="C56" s="5" t="s">
        <v>180</v>
      </c>
      <c r="D56" s="5" t="s">
        <v>181</v>
      </c>
      <c r="E56" s="5" t="s">
        <v>182</v>
      </c>
      <c r="F56" s="5" t="s">
        <v>183</v>
      </c>
    </row>
    <row r="57" spans="1:6" ht="18" customHeight="1" x14ac:dyDescent="0.25">
      <c r="A57" s="8" t="s">
        <v>330</v>
      </c>
      <c r="B57" s="7" t="s">
        <v>10</v>
      </c>
      <c r="C57" s="3" t="s">
        <v>331</v>
      </c>
      <c r="D57" s="3" t="s">
        <v>30</v>
      </c>
      <c r="E57" s="3">
        <v>2025</v>
      </c>
      <c r="F57" s="3" t="s">
        <v>332</v>
      </c>
    </row>
    <row r="58" spans="1:6" ht="18" customHeight="1" x14ac:dyDescent="0.25">
      <c r="A58" s="8" t="s">
        <v>333</v>
      </c>
      <c r="B58" s="7" t="s">
        <v>398</v>
      </c>
      <c r="C58" s="3" t="s">
        <v>334</v>
      </c>
      <c r="D58" s="3" t="s">
        <v>30</v>
      </c>
      <c r="E58" s="3">
        <v>2025</v>
      </c>
      <c r="F58" s="3"/>
    </row>
    <row r="59" spans="1:6" ht="18" customHeight="1" x14ac:dyDescent="0.25">
      <c r="A59" s="8" t="s">
        <v>335</v>
      </c>
      <c r="B59" s="7" t="s">
        <v>400</v>
      </c>
      <c r="C59" s="3" t="s">
        <v>336</v>
      </c>
      <c r="D59" s="3" t="s">
        <v>30</v>
      </c>
      <c r="E59" s="3">
        <v>2025</v>
      </c>
      <c r="F59" s="3"/>
    </row>
    <row r="60" spans="1:6" ht="18" customHeight="1" x14ac:dyDescent="0.25">
      <c r="A60" s="8" t="s">
        <v>337</v>
      </c>
      <c r="B60" s="7" t="s">
        <v>24</v>
      </c>
      <c r="C60" s="3" t="s">
        <v>338</v>
      </c>
      <c r="D60" s="3" t="s">
        <v>30</v>
      </c>
      <c r="E60" s="3">
        <v>2025</v>
      </c>
      <c r="F60" s="3"/>
    </row>
    <row r="61" spans="1:6" ht="18" customHeight="1" x14ac:dyDescent="0.25">
      <c r="A61" s="8" t="s">
        <v>339</v>
      </c>
      <c r="B61" s="7" t="s">
        <v>401</v>
      </c>
      <c r="C61" s="3" t="s">
        <v>340</v>
      </c>
      <c r="D61" s="3" t="s">
        <v>30</v>
      </c>
      <c r="E61" s="3">
        <v>2025</v>
      </c>
      <c r="F61" s="3"/>
    </row>
    <row r="62" spans="1:6" ht="18" customHeight="1" x14ac:dyDescent="0.25">
      <c r="A62" s="8" t="s">
        <v>341</v>
      </c>
      <c r="B62" s="7" t="s">
        <v>8</v>
      </c>
      <c r="C62" s="3" t="s">
        <v>341</v>
      </c>
      <c r="D62" s="3" t="s">
        <v>30</v>
      </c>
      <c r="E62" s="3">
        <v>2025</v>
      </c>
      <c r="F62" s="3"/>
    </row>
    <row r="63" spans="1:6" ht="18" customHeight="1" x14ac:dyDescent="0.25">
      <c r="A63" s="3"/>
      <c r="B63" s="3"/>
      <c r="C63" s="3"/>
      <c r="D63" s="3"/>
      <c r="E63" s="3"/>
      <c r="F63" s="3"/>
    </row>
    <row r="64" spans="1:6" ht="18" customHeight="1" x14ac:dyDescent="0.25">
      <c r="A64" s="3"/>
      <c r="B64" s="3"/>
      <c r="C64" s="3"/>
      <c r="D64" s="3"/>
      <c r="E64" s="3"/>
      <c r="F64" s="3"/>
    </row>
    <row r="65" spans="1:6" ht="18" customHeight="1" x14ac:dyDescent="0.25">
      <c r="A65" s="3"/>
      <c r="B65" s="3"/>
      <c r="C65" s="3"/>
      <c r="D65" s="3"/>
      <c r="E65" s="3"/>
      <c r="F65" s="3"/>
    </row>
    <row r="66" spans="1:6" ht="18" customHeight="1" x14ac:dyDescent="0.25">
      <c r="A66" s="3"/>
      <c r="B66" s="3"/>
      <c r="C66" s="3"/>
      <c r="D66" s="3"/>
      <c r="E66" s="3"/>
      <c r="F66" s="3"/>
    </row>
    <row r="67" spans="1:6" ht="18" customHeight="1" x14ac:dyDescent="0.25">
      <c r="A67" s="3"/>
      <c r="B67" s="3"/>
      <c r="C67" s="3"/>
      <c r="D67" s="3"/>
      <c r="E67" s="3"/>
      <c r="F67" s="3"/>
    </row>
    <row r="68" spans="1:6" ht="18" customHeight="1" x14ac:dyDescent="0.25">
      <c r="A68" s="3"/>
      <c r="B68" s="3"/>
      <c r="C68" s="3"/>
      <c r="D68" s="3"/>
      <c r="E68" s="3"/>
      <c r="F68" s="3"/>
    </row>
    <row r="69" spans="1:6" ht="18" customHeight="1" x14ac:dyDescent="0.25">
      <c r="A69" s="3"/>
      <c r="B69" s="3"/>
      <c r="C69" s="3"/>
      <c r="D69" s="3"/>
      <c r="E69" s="3"/>
      <c r="F69" s="3"/>
    </row>
    <row r="70" spans="1:6" ht="18" customHeight="1" x14ac:dyDescent="0.25">
      <c r="A70" s="3"/>
      <c r="B70" s="3"/>
      <c r="C70" s="3"/>
      <c r="D70" s="3"/>
      <c r="E70" s="3"/>
      <c r="F70" s="3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9B7B-E7E4-45BA-8D85-66A7EF1E012A}">
  <dimension ref="A1:E35"/>
  <sheetViews>
    <sheetView showGridLines="0" workbookViewId="0">
      <selection activeCell="I24" sqref="I24"/>
    </sheetView>
  </sheetViews>
  <sheetFormatPr defaultRowHeight="15" x14ac:dyDescent="0.25"/>
  <cols>
    <col min="1" max="1" width="3.85546875" customWidth="1"/>
    <col min="2" max="2" width="32.42578125" customWidth="1"/>
    <col min="3" max="3" width="47.5703125" customWidth="1"/>
    <col min="4" max="4" width="24.7109375" customWidth="1"/>
    <col min="5" max="5" width="45.7109375" customWidth="1"/>
  </cols>
  <sheetData>
    <row r="1" spans="1:5" ht="32.1" customHeight="1" x14ac:dyDescent="0.25">
      <c r="A1" s="3"/>
      <c r="B1" s="2" t="s">
        <v>0</v>
      </c>
      <c r="C1" s="2"/>
      <c r="D1" s="2"/>
      <c r="E1" s="2"/>
    </row>
    <row r="2" spans="1:5" ht="20.100000000000001" customHeight="1" x14ac:dyDescent="0.25">
      <c r="A2" s="3"/>
      <c r="B2" s="21" t="s">
        <v>391</v>
      </c>
      <c r="C2" s="21"/>
      <c r="D2" s="21"/>
      <c r="E2" s="21"/>
    </row>
    <row r="3" spans="1:5" ht="20.100000000000001" customHeight="1" x14ac:dyDescent="0.25">
      <c r="A3" s="3"/>
      <c r="B3" s="3"/>
      <c r="C3" s="3"/>
      <c r="D3" s="3"/>
      <c r="E3" s="3"/>
    </row>
    <row r="4" spans="1:5" ht="20.100000000000001" customHeight="1" x14ac:dyDescent="0.25">
      <c r="A4" s="3"/>
      <c r="B4" s="4" t="s">
        <v>1</v>
      </c>
      <c r="C4" s="4"/>
      <c r="D4" s="4"/>
      <c r="E4" s="4"/>
    </row>
    <row r="5" spans="1:5" ht="20.100000000000001" customHeight="1" x14ac:dyDescent="0.25">
      <c r="A5" s="3"/>
      <c r="B5" s="22" t="s">
        <v>2</v>
      </c>
      <c r="C5" s="23" t="str">
        <f>Config!B5</f>
        <v>Galvanizing System</v>
      </c>
      <c r="D5" s="22" t="s">
        <v>3</v>
      </c>
      <c r="E5" s="23" t="str">
        <f>Config!B6</f>
        <v>PRJ-26001</v>
      </c>
    </row>
    <row r="6" spans="1:5" ht="20.100000000000001" customHeight="1" x14ac:dyDescent="0.25">
      <c r="A6" s="3"/>
      <c r="B6" s="24" t="s">
        <v>4</v>
      </c>
      <c r="C6" s="25" t="str">
        <f>Config!B7</f>
        <v>Howest - Cyber3Lab</v>
      </c>
      <c r="D6" s="24" t="s">
        <v>5</v>
      </c>
      <c r="E6" s="25" t="str">
        <f>Config!B8</f>
        <v>Building J - Cyber3Lab, Howest Brugge, Belgium</v>
      </c>
    </row>
    <row r="7" spans="1:5" ht="20.100000000000001" customHeight="1" x14ac:dyDescent="0.25">
      <c r="A7" s="3"/>
      <c r="B7" s="22" t="s">
        <v>6</v>
      </c>
      <c r="C7" s="23" t="str">
        <f>Config!B61</f>
        <v>Attila Peter Szucs</v>
      </c>
      <c r="D7" s="22" t="s">
        <v>7</v>
      </c>
      <c r="E7" s="23" t="str">
        <f>Config!B62</f>
        <v>Electrical / Instrumentation</v>
      </c>
    </row>
    <row r="8" spans="1:5" ht="20.100000000000001" customHeight="1" x14ac:dyDescent="0.25">
      <c r="A8" s="3"/>
      <c r="B8" s="24" t="s">
        <v>9</v>
      </c>
      <c r="C8" s="25" t="str">
        <f>Config!B57</f>
        <v>EL-PLC-001 to EL-PLC-048</v>
      </c>
      <c r="D8" s="24" t="s">
        <v>11</v>
      </c>
      <c r="E8" s="25" t="str">
        <f>Config!B11&amp;" ("&amp;Config!B12&amp;")"</f>
        <v>WAGO Compact Controller 100 (751-9402)</v>
      </c>
    </row>
    <row r="9" spans="1:5" ht="20.100000000000001" customHeight="1" x14ac:dyDescent="0.25">
      <c r="A9" s="3"/>
      <c r="B9" s="22" t="s">
        <v>12</v>
      </c>
      <c r="C9" s="23" t="str">
        <f>Config!B19</f>
        <v>24 VDC</v>
      </c>
      <c r="D9" s="22" t="s">
        <v>14</v>
      </c>
      <c r="E9" s="23" t="str">
        <f>Config!B20</f>
        <v>400 VAC, 3-Phase, 50 Hz</v>
      </c>
    </row>
    <row r="10" spans="1:5" ht="20.100000000000001" customHeight="1" x14ac:dyDescent="0.25">
      <c r="A10" s="3"/>
      <c r="B10" s="24" t="s">
        <v>16</v>
      </c>
      <c r="C10" s="25" t="str">
        <f>Config!B21</f>
        <v>IP65 (Field) / IP54 (Panel)</v>
      </c>
      <c r="D10" s="24" t="s">
        <v>18</v>
      </c>
      <c r="E10" s="25" t="s">
        <v>19</v>
      </c>
    </row>
    <row r="11" spans="1:5" ht="20.100000000000001" customHeight="1" x14ac:dyDescent="0.25">
      <c r="A11" s="3"/>
      <c r="B11" s="22" t="s">
        <v>20</v>
      </c>
      <c r="C11" s="23" t="str">
        <f>Config!B58</f>
        <v>Howest - Cyber3Lab</v>
      </c>
      <c r="D11" s="22" t="s">
        <v>21</v>
      </c>
      <c r="E11" s="23"/>
    </row>
    <row r="12" spans="1:5" ht="20.100000000000001" customHeight="1" x14ac:dyDescent="0.25">
      <c r="A12" s="3"/>
      <c r="B12" s="24" t="s">
        <v>22</v>
      </c>
      <c r="C12" s="25" t="str">
        <f>Config!B59</f>
        <v>Laurens Singier</v>
      </c>
      <c r="D12" s="24" t="s">
        <v>23</v>
      </c>
      <c r="E12" s="25" t="str">
        <f>Config!B60</f>
        <v>REV A – Issued for Construction</v>
      </c>
    </row>
    <row r="13" spans="1:5" ht="20.100000000000001" customHeight="1" x14ac:dyDescent="0.25">
      <c r="A13" s="3"/>
      <c r="B13" s="3"/>
      <c r="C13" s="3"/>
      <c r="D13" s="3"/>
      <c r="E13" s="3"/>
    </row>
    <row r="14" spans="1:5" ht="20.100000000000001" customHeight="1" x14ac:dyDescent="0.25">
      <c r="A14" s="3"/>
      <c r="B14" s="4" t="s">
        <v>25</v>
      </c>
      <c r="C14" s="4"/>
      <c r="D14" s="4"/>
      <c r="E14" s="4"/>
    </row>
    <row r="15" spans="1:5" ht="18" customHeight="1" x14ac:dyDescent="0.25">
      <c r="A15" s="3"/>
      <c r="B15" s="5" t="s">
        <v>26</v>
      </c>
      <c r="C15" s="5" t="s">
        <v>27</v>
      </c>
      <c r="D15" s="5" t="s">
        <v>28</v>
      </c>
      <c r="E15" s="5" t="s">
        <v>29</v>
      </c>
    </row>
    <row r="16" spans="1:5" ht="26.25" customHeight="1" x14ac:dyDescent="0.25">
      <c r="A16" s="3"/>
      <c r="B16" s="13" t="s">
        <v>30</v>
      </c>
      <c r="C16" s="13" t="s">
        <v>31</v>
      </c>
      <c r="D16" s="13" t="s">
        <v>32</v>
      </c>
      <c r="E16" s="13"/>
    </row>
    <row r="17" spans="1:5" ht="26.25" customHeight="1" x14ac:dyDescent="0.25">
      <c r="A17" s="3"/>
      <c r="B17" s="15" t="s">
        <v>33</v>
      </c>
      <c r="C17" s="15" t="s">
        <v>33</v>
      </c>
      <c r="D17" s="15" t="s">
        <v>34</v>
      </c>
      <c r="E17" s="15"/>
    </row>
    <row r="18" spans="1:5" ht="26.25" customHeight="1" x14ac:dyDescent="0.25">
      <c r="A18" s="3"/>
      <c r="B18" s="13" t="s">
        <v>35</v>
      </c>
      <c r="C18" s="13" t="s">
        <v>36</v>
      </c>
      <c r="D18" s="13" t="s">
        <v>37</v>
      </c>
      <c r="E18" s="13"/>
    </row>
    <row r="19" spans="1:5" ht="26.25" customHeight="1" x14ac:dyDescent="0.25">
      <c r="A19" s="3"/>
      <c r="B19" s="15" t="s">
        <v>38</v>
      </c>
      <c r="C19" s="15" t="s">
        <v>38</v>
      </c>
      <c r="D19" s="15" t="s">
        <v>39</v>
      </c>
      <c r="E19" s="15"/>
    </row>
    <row r="20" spans="1:5" ht="26.25" customHeight="1" x14ac:dyDescent="0.25">
      <c r="A20" s="3"/>
      <c r="B20" s="13" t="s">
        <v>40</v>
      </c>
      <c r="C20" s="13" t="s">
        <v>40</v>
      </c>
      <c r="D20" s="13" t="s">
        <v>41</v>
      </c>
      <c r="E20" s="13"/>
    </row>
    <row r="21" spans="1:5" ht="26.25" customHeight="1" x14ac:dyDescent="0.25">
      <c r="A21" s="3"/>
      <c r="B21" s="15" t="s">
        <v>42</v>
      </c>
      <c r="C21" s="15" t="s">
        <v>43</v>
      </c>
      <c r="D21" s="15" t="s">
        <v>44</v>
      </c>
      <c r="E21" s="15"/>
    </row>
    <row r="22" spans="1:5" ht="26.25" customHeight="1" x14ac:dyDescent="0.25">
      <c r="A22" s="3"/>
      <c r="B22" s="3"/>
      <c r="C22" s="3"/>
      <c r="D22" s="3"/>
      <c r="E22" s="3"/>
    </row>
    <row r="23" spans="1:5" ht="20.100000000000001" customHeight="1" x14ac:dyDescent="0.25">
      <c r="A23" s="3"/>
      <c r="B23" s="4" t="s">
        <v>45</v>
      </c>
      <c r="C23" s="4"/>
      <c r="D23" s="4"/>
      <c r="E23" s="4"/>
    </row>
    <row r="24" spans="1:5" ht="42.75" customHeight="1" x14ac:dyDescent="0.25">
      <c r="A24" s="3"/>
      <c r="B24" s="13" t="s">
        <v>46</v>
      </c>
      <c r="C24" s="13"/>
      <c r="D24" s="13"/>
      <c r="E24" s="13"/>
    </row>
    <row r="25" spans="1:5" ht="42.75" customHeight="1" x14ac:dyDescent="0.25">
      <c r="A25" s="3"/>
      <c r="B25" s="26" t="s">
        <v>392</v>
      </c>
      <c r="C25" s="26"/>
      <c r="D25" s="26"/>
      <c r="E25" s="26"/>
    </row>
    <row r="26" spans="1:5" ht="42.75" customHeight="1" x14ac:dyDescent="0.25">
      <c r="A26" s="3"/>
      <c r="B26" s="13" t="s">
        <v>47</v>
      </c>
      <c r="C26" s="13"/>
      <c r="D26" s="13"/>
      <c r="E26" s="13"/>
    </row>
    <row r="27" spans="1:5" ht="42.75" customHeight="1" x14ac:dyDescent="0.25">
      <c r="A27" s="3"/>
      <c r="B27" s="26" t="s">
        <v>393</v>
      </c>
      <c r="C27" s="26"/>
      <c r="D27" s="26"/>
      <c r="E27" s="26"/>
    </row>
    <row r="28" spans="1:5" ht="42.75" customHeight="1" x14ac:dyDescent="0.25">
      <c r="A28" s="3"/>
      <c r="B28" s="13" t="s">
        <v>48</v>
      </c>
      <c r="C28" s="13"/>
      <c r="D28" s="13"/>
      <c r="E28" s="13"/>
    </row>
    <row r="29" spans="1:5" ht="42.75" customHeight="1" x14ac:dyDescent="0.25">
      <c r="A29" s="3"/>
      <c r="B29" s="26" t="s">
        <v>394</v>
      </c>
      <c r="C29" s="26"/>
      <c r="D29" s="26"/>
      <c r="E29" s="26"/>
    </row>
    <row r="30" spans="1:5" ht="42.75" customHeight="1" x14ac:dyDescent="0.25">
      <c r="A30" s="3"/>
      <c r="B30" s="13" t="s">
        <v>49</v>
      </c>
      <c r="C30" s="13"/>
      <c r="D30" s="13"/>
      <c r="E30" s="13"/>
    </row>
    <row r="31" spans="1:5" ht="42.75" customHeight="1" x14ac:dyDescent="0.25">
      <c r="A31" s="3"/>
      <c r="B31" s="26" t="s">
        <v>395</v>
      </c>
      <c r="C31" s="26"/>
      <c r="D31" s="26"/>
      <c r="E31" s="26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AD26-EEDC-4236-B3B2-45A1AA890448}">
  <dimension ref="A1:Q53"/>
  <sheetViews>
    <sheetView showGridLines="0" workbookViewId="0">
      <pane ySplit="3" topLeftCell="A4" activePane="bottomLeft" state="frozen"/>
      <selection pane="bottomLeft" sqref="A1:Q1"/>
    </sheetView>
  </sheetViews>
  <sheetFormatPr defaultRowHeight="15" x14ac:dyDescent="0.25"/>
  <cols>
    <col min="1" max="1" width="6.7109375" customWidth="1"/>
    <col min="2" max="2" width="13.28515625" customWidth="1"/>
    <col min="3" max="3" width="30.42578125" customWidth="1"/>
    <col min="4" max="4" width="24.7109375" customWidth="1"/>
    <col min="5" max="5" width="17.140625" customWidth="1"/>
    <col min="6" max="6" width="30.42578125" customWidth="1"/>
    <col min="7" max="7" width="24.7109375" customWidth="1"/>
    <col min="8" max="8" width="17.140625" customWidth="1"/>
    <col min="9" max="9" width="28.5703125" customWidth="1"/>
    <col min="10" max="10" width="9.5703125" customWidth="1"/>
    <col min="11" max="11" width="11.42578125" customWidth="1"/>
    <col min="12" max="12" width="15.28515625" customWidth="1"/>
    <col min="13" max="13" width="10.42578125" customWidth="1"/>
    <col min="14" max="14" width="12.42578125" customWidth="1"/>
    <col min="15" max="15" width="21" customWidth="1"/>
    <col min="16" max="16" width="14.28515625" customWidth="1"/>
    <col min="17" max="17" width="7.5703125" customWidth="1"/>
  </cols>
  <sheetData>
    <row r="1" spans="1:17" ht="26.1" customHeight="1" x14ac:dyDescent="0.25">
      <c r="A1" s="1" t="str">
        <f>"CABLE SCHEDULE — "&amp;Config!B6</f>
        <v>CABLE SCHEDULE — PRJ-26001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95" customHeight="1" x14ac:dyDescent="0.25">
      <c r="A2" s="10" t="str">
        <f>"Project: "&amp;Config!B6&amp;"   |   Project No: "&amp;Config!B6&amp;"   |   PLC: "&amp;Config!B11&amp;" ("&amp;Config!B12&amp;")   |   Rev: "&amp;Config!B60</f>
        <v>Project: PRJ-26001   |   Project No: PRJ-26001   |   PLC: WAGO Compact Controller 100 (751-9402)   |   Rev: REV A – Issued for Construction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30" customHeight="1" x14ac:dyDescent="0.25">
      <c r="A3" s="11" t="s">
        <v>50</v>
      </c>
      <c r="B3" s="11" t="s">
        <v>51</v>
      </c>
      <c r="C3" s="11" t="s">
        <v>52</v>
      </c>
      <c r="D3" s="11" t="s">
        <v>53</v>
      </c>
      <c r="E3" s="11" t="s">
        <v>54</v>
      </c>
      <c r="F3" s="11" t="s">
        <v>55</v>
      </c>
      <c r="G3" s="11" t="s">
        <v>56</v>
      </c>
      <c r="H3" s="11" t="s">
        <v>57</v>
      </c>
      <c r="I3" s="11" t="s">
        <v>58</v>
      </c>
      <c r="J3" s="11" t="s">
        <v>60</v>
      </c>
      <c r="K3" s="11" t="s">
        <v>61</v>
      </c>
      <c r="L3" s="11" t="s">
        <v>62</v>
      </c>
      <c r="M3" s="11" t="s">
        <v>63</v>
      </c>
      <c r="N3" s="11" t="s">
        <v>64</v>
      </c>
      <c r="O3" s="11" t="s">
        <v>342</v>
      </c>
      <c r="P3" s="11" t="s">
        <v>29</v>
      </c>
      <c r="Q3" s="11" t="s">
        <v>59</v>
      </c>
    </row>
    <row r="4" spans="1:17" ht="18" customHeight="1" x14ac:dyDescent="0.25">
      <c r="A4" s="12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18" customHeight="1" x14ac:dyDescent="0.25">
      <c r="A5" s="14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ht="18" customHeight="1" x14ac:dyDescent="0.25">
      <c r="A6" s="12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ht="18" customHeight="1" x14ac:dyDescent="0.25">
      <c r="A7" s="14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18" customHeight="1" x14ac:dyDescent="0.25">
      <c r="A8" s="12"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ht="18" customHeight="1" x14ac:dyDescent="0.25">
      <c r="A9" s="14">
        <v>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ht="18" customHeight="1" x14ac:dyDescent="0.25">
      <c r="A10" s="12">
        <v>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18" customHeight="1" x14ac:dyDescent="0.25">
      <c r="A11" s="14">
        <v>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ht="18" customHeight="1" x14ac:dyDescent="0.25">
      <c r="A12" s="12">
        <v>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ht="18" customHeight="1" x14ac:dyDescent="0.25">
      <c r="A13" s="14">
        <v>10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ht="18" customHeight="1" x14ac:dyDescent="0.25">
      <c r="A14" s="12">
        <v>11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ht="18" customHeight="1" x14ac:dyDescent="0.25">
      <c r="A15" s="14">
        <v>12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ht="18" customHeight="1" x14ac:dyDescent="0.25">
      <c r="A16" s="12"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ht="18" customHeight="1" x14ac:dyDescent="0.25">
      <c r="A17" s="14">
        <v>14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ht="18" customHeight="1" x14ac:dyDescent="0.25">
      <c r="A18" s="12"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ht="18" customHeight="1" x14ac:dyDescent="0.25">
      <c r="A19" s="14">
        <v>16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8" customHeight="1" x14ac:dyDescent="0.25">
      <c r="A20" s="12">
        <v>17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ht="18" customHeight="1" x14ac:dyDescent="0.25">
      <c r="A21" s="14">
        <v>18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8" customHeight="1" x14ac:dyDescent="0.25">
      <c r="A22" s="12">
        <v>19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8" customHeight="1" x14ac:dyDescent="0.25">
      <c r="A23" s="14">
        <v>20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 ht="18" customHeight="1" x14ac:dyDescent="0.25">
      <c r="A24" s="12">
        <v>21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8" customHeight="1" x14ac:dyDescent="0.25">
      <c r="A25" s="14">
        <v>22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ht="18" customHeight="1" x14ac:dyDescent="0.25">
      <c r="A26" s="12">
        <v>23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ht="18" customHeight="1" x14ac:dyDescent="0.25">
      <c r="A27" s="14">
        <v>24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ht="18" customHeight="1" x14ac:dyDescent="0.25">
      <c r="A28" s="12">
        <v>25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ht="18" customHeight="1" x14ac:dyDescent="0.25">
      <c r="A29" s="14">
        <v>26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ht="18" customHeight="1" x14ac:dyDescent="0.25">
      <c r="A30" s="12">
        <v>27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ht="18" customHeight="1" x14ac:dyDescent="0.25">
      <c r="A31" s="14">
        <v>28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ht="18" customHeight="1" x14ac:dyDescent="0.25">
      <c r="A32" s="12">
        <v>29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ht="18" customHeight="1" x14ac:dyDescent="0.25">
      <c r="A33" s="14">
        <v>30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ht="18" customHeight="1" x14ac:dyDescent="0.25">
      <c r="A34" s="12">
        <v>31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ht="18" customHeight="1" x14ac:dyDescent="0.25">
      <c r="A35" s="14">
        <v>32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ht="18" customHeight="1" x14ac:dyDescent="0.25">
      <c r="A36" s="12">
        <v>33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ht="18" customHeight="1" x14ac:dyDescent="0.25">
      <c r="A37" s="14">
        <v>34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 ht="18" customHeight="1" x14ac:dyDescent="0.25">
      <c r="A38" s="12">
        <v>35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ht="18" customHeight="1" x14ac:dyDescent="0.25">
      <c r="A39" s="14">
        <v>36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 ht="18" customHeight="1" x14ac:dyDescent="0.25">
      <c r="A40" s="12">
        <v>37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ht="18" customHeight="1" x14ac:dyDescent="0.25">
      <c r="A41" s="14">
        <v>38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ht="18" customHeight="1" x14ac:dyDescent="0.25">
      <c r="A42" s="12">
        <v>39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ht="18" customHeight="1" x14ac:dyDescent="0.25">
      <c r="A43" s="14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 ht="18" customHeight="1" x14ac:dyDescent="0.25">
      <c r="A44" s="12">
        <v>41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ht="18" customHeight="1" x14ac:dyDescent="0.25">
      <c r="A45" s="14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 ht="18" customHeight="1" x14ac:dyDescent="0.25">
      <c r="A46" s="12">
        <v>43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ht="18" customHeight="1" x14ac:dyDescent="0.25">
      <c r="A47" s="14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 ht="18" customHeight="1" x14ac:dyDescent="0.25">
      <c r="A48" s="12">
        <v>45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ht="18" customHeight="1" x14ac:dyDescent="0.25">
      <c r="A49" s="14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17" ht="18" customHeight="1" x14ac:dyDescent="0.25">
      <c r="A50" s="12">
        <v>47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ht="18" customHeight="1" x14ac:dyDescent="0.25">
      <c r="A51" s="14">
        <v>48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1:17" ht="18" customHeight="1" x14ac:dyDescent="0.25">
      <c r="A52" s="12">
        <v>49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ht="18" customHeight="1" x14ac:dyDescent="0.25">
      <c r="A53" s="14">
        <v>50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13D4-479B-419D-BD4C-30DD096BF1C8}">
  <dimension ref="A1:N60"/>
  <sheetViews>
    <sheetView showGridLines="0" workbookViewId="0">
      <pane ySplit="2" topLeftCell="A20" activePane="bottomLeft" state="frozen"/>
      <selection pane="bottomLeft" activeCell="F11" sqref="F11"/>
    </sheetView>
  </sheetViews>
  <sheetFormatPr defaultRowHeight="15" x14ac:dyDescent="0.25"/>
  <cols>
    <col min="1" max="1" width="6.7109375" customWidth="1"/>
    <col min="2" max="2" width="14.28515625" customWidth="1"/>
    <col min="3" max="3" width="38.140625" customWidth="1"/>
    <col min="4" max="4" width="12.42578125" customWidth="1"/>
    <col min="5" max="5" width="21" customWidth="1"/>
    <col min="6" max="6" width="18.140625" customWidth="1"/>
    <col min="7" max="7" width="14.28515625" customWidth="1"/>
    <col min="8" max="8" width="15.28515625" customWidth="1"/>
    <col min="9" max="9" width="22.85546875" customWidth="1"/>
    <col min="10" max="10" width="12.42578125" customWidth="1"/>
    <col min="11" max="11" width="9.5703125" customWidth="1"/>
    <col min="12" max="12" width="17.140625" customWidth="1"/>
    <col min="13" max="13" width="14.28515625" customWidth="1"/>
    <col min="14" max="14" width="26.7109375" customWidth="1"/>
  </cols>
  <sheetData>
    <row r="1" spans="1:14" ht="26.1" customHeight="1" x14ac:dyDescent="0.25">
      <c r="A1" s="1" t="str">
        <f>"PLC I/O LIST — "&amp;Config!B6&amp;" | "&amp;Config!B11&amp;" ("&amp;Config!B12&amp;")"</f>
        <v>PLC I/O LIST — PRJ-26001 | WAGO Compact Controller 100 (751-9402)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 x14ac:dyDescent="0.25">
      <c r="A2" s="11" t="s">
        <v>50</v>
      </c>
      <c r="B2" s="11" t="s">
        <v>65</v>
      </c>
      <c r="C2" s="11" t="s">
        <v>28</v>
      </c>
      <c r="D2" s="11" t="s">
        <v>51</v>
      </c>
      <c r="E2" s="11" t="s">
        <v>238</v>
      </c>
      <c r="F2" s="11" t="s">
        <v>237</v>
      </c>
      <c r="G2" s="11" t="s">
        <v>236</v>
      </c>
      <c r="H2" s="11" t="s">
        <v>66</v>
      </c>
      <c r="I2" s="11" t="s">
        <v>67</v>
      </c>
      <c r="J2" s="11" t="s">
        <v>68</v>
      </c>
      <c r="K2" s="11" t="s">
        <v>69</v>
      </c>
      <c r="L2" s="11" t="s">
        <v>70</v>
      </c>
      <c r="M2" s="11" t="s">
        <v>71</v>
      </c>
      <c r="N2" s="11" t="s">
        <v>72</v>
      </c>
    </row>
    <row r="3" spans="1:14" ht="20.100000000000001" customHeight="1" x14ac:dyDescent="0.25">
      <c r="A3" s="30" t="s">
        <v>343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s="9" customFormat="1" ht="18" customHeight="1" x14ac:dyDescent="0.25">
      <c r="A4" s="16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s="9" customFormat="1" ht="18" customHeight="1" x14ac:dyDescent="0.25">
      <c r="A5" s="17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s="9" customFormat="1" ht="18" customHeight="1" x14ac:dyDescent="0.25">
      <c r="A6" s="16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s="9" customFormat="1" ht="18" customHeight="1" x14ac:dyDescent="0.25">
      <c r="A7" s="17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s="9" customFormat="1" ht="18" customHeight="1" x14ac:dyDescent="0.25">
      <c r="A8" s="16"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s="9" customFormat="1" ht="18" customHeight="1" x14ac:dyDescent="0.25">
      <c r="A9" s="17">
        <v>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s="9" customFormat="1" ht="18" customHeight="1" x14ac:dyDescent="0.25">
      <c r="A10" s="16">
        <v>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s="9" customFormat="1" ht="18" customHeight="1" x14ac:dyDescent="0.25">
      <c r="A11" s="17">
        <v>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s="9" customFormat="1" ht="18" customHeight="1" x14ac:dyDescent="0.25">
      <c r="A12" s="16">
        <v>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s="9" customFormat="1" ht="18" customHeight="1" x14ac:dyDescent="0.25">
      <c r="A13" s="17">
        <v>10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s="9" customFormat="1" ht="18" customHeight="1" x14ac:dyDescent="0.25">
      <c r="A14" s="16">
        <v>11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s="9" customFormat="1" ht="18" customHeight="1" x14ac:dyDescent="0.25">
      <c r="A15" s="17">
        <v>12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s="9" customFormat="1" ht="18" customHeight="1" x14ac:dyDescent="0.25">
      <c r="A16" s="16"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s="9" customFormat="1" ht="18" customHeight="1" x14ac:dyDescent="0.25">
      <c r="A17" s="17">
        <v>14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8" customHeight="1" x14ac:dyDescent="0.25">
      <c r="A18" s="16"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s="9" customFormat="1" ht="18" customHeight="1" x14ac:dyDescent="0.25">
      <c r="A19" s="17">
        <v>16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s="9" customFormat="1" ht="20.100000000000001" customHeight="1" x14ac:dyDescent="0.25">
      <c r="A20" s="30" t="s">
        <v>344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spans="1:14" s="9" customFormat="1" ht="18" customHeight="1" x14ac:dyDescent="0.25">
      <c r="A21" s="16">
        <v>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s="9" customFormat="1" ht="18" customHeight="1" x14ac:dyDescent="0.25">
      <c r="A22" s="17">
        <v>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s="9" customFormat="1" ht="18" customHeight="1" x14ac:dyDescent="0.25">
      <c r="A23" s="16">
        <v>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s="9" customFormat="1" ht="18" customHeight="1" x14ac:dyDescent="0.25">
      <c r="A24" s="17">
        <v>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s="9" customFormat="1" ht="18" customHeight="1" x14ac:dyDescent="0.25">
      <c r="A25" s="16">
        <v>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s="9" customFormat="1" ht="18" customHeight="1" x14ac:dyDescent="0.25">
      <c r="A26" s="17">
        <v>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s="9" customFormat="1" ht="18" customHeight="1" x14ac:dyDescent="0.25">
      <c r="A27" s="16">
        <v>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s="9" customFormat="1" ht="18" customHeight="1" x14ac:dyDescent="0.25">
      <c r="A28" s="17">
        <v>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20.100000000000001" customHeight="1" x14ac:dyDescent="0.25">
      <c r="A29" s="30" t="s">
        <v>345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4" s="9" customFormat="1" ht="18" customHeight="1" x14ac:dyDescent="0.25">
      <c r="A30" s="16">
        <v>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s="9" customFormat="1" ht="18" customHeight="1" x14ac:dyDescent="0.25">
      <c r="A31" s="17">
        <v>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s="9" customFormat="1" ht="18" customHeight="1" x14ac:dyDescent="0.25">
      <c r="A32" s="16">
        <v>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s="9" customFormat="1" ht="18" customHeight="1" x14ac:dyDescent="0.25">
      <c r="A33" s="17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s="9" customFormat="1" ht="18" customHeight="1" x14ac:dyDescent="0.25">
      <c r="A34" s="16">
        <v>5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s="9" customFormat="1" ht="18" customHeight="1" x14ac:dyDescent="0.25">
      <c r="A35" s="17">
        <v>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s="9" customFormat="1" ht="18" customHeight="1" x14ac:dyDescent="0.25">
      <c r="A36" s="16">
        <v>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s="9" customFormat="1" ht="18" customHeight="1" x14ac:dyDescent="0.25">
      <c r="A37" s="17">
        <v>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s="9" customFormat="1" ht="20.100000000000001" customHeight="1" x14ac:dyDescent="0.25">
      <c r="A38" s="30" t="s">
        <v>346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ht="18" customHeight="1" x14ac:dyDescent="0.25">
      <c r="A39" s="16">
        <v>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 s="9" customFormat="1" ht="18" customHeight="1" x14ac:dyDescent="0.25">
      <c r="A40" s="17">
        <v>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s="9" customFormat="1" ht="18" customHeight="1" x14ac:dyDescent="0.25">
      <c r="A41" s="16">
        <v>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1:14" s="9" customFormat="1" ht="18" customHeight="1" x14ac:dyDescent="0.25">
      <c r="A42" s="17">
        <v>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s="9" customFormat="1" ht="18" customHeight="1" x14ac:dyDescent="0.25">
      <c r="A43" s="16">
        <v>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1:14" s="9" customFormat="1" ht="27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27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8" customHeight="1" x14ac:dyDescent="0.25"/>
    <row r="47" spans="1:14" s="9" customFormat="1" ht="41.25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s="9" customFormat="1" ht="46.5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s="9" customFormat="1" ht="46.5" customHeigh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s="9" customFormat="1" ht="46.5" customHeigh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s="9" customFormat="1" ht="46.5" customHeigh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9" customFormat="1" ht="46.5" customHeigh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s="9" customFormat="1" ht="46.5" customHeight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s="9" customFormat="1" ht="46.5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s="9" customFormat="1" ht="46.5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s="9" customFormat="1" ht="46.5" customHeigh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s="9" customFormat="1" ht="46.5" customHeight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s="9" customFormat="1" ht="46.5" customHeigh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ht="18" customHeight="1" x14ac:dyDescent="0.25"/>
    <row r="60" spans="1:14" ht="18" customHeight="1" x14ac:dyDescent="0.25"/>
  </sheetData>
  <mergeCells count="4">
    <mergeCell ref="A3:N3"/>
    <mergeCell ref="A29:N29"/>
    <mergeCell ref="A20:N20"/>
    <mergeCell ref="A38:N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C9B7-5A99-41D8-A42F-E63CC47E59F3}">
  <dimension ref="A1:L60"/>
  <sheetViews>
    <sheetView showGridLines="0" workbookViewId="0">
      <pane ySplit="2" topLeftCell="A3" activePane="bottomLeft" state="frozen"/>
      <selection pane="bottomLeft" activeCell="A40" sqref="A40:L40"/>
    </sheetView>
  </sheetViews>
  <sheetFormatPr defaultRowHeight="15" x14ac:dyDescent="0.25"/>
  <cols>
    <col min="1" max="1" width="14.85546875" customWidth="1"/>
    <col min="2" max="2" width="10.42578125" customWidth="1"/>
    <col min="3" max="3" width="24.7109375" customWidth="1"/>
    <col min="4" max="4" width="16.140625" customWidth="1"/>
    <col min="5" max="5" width="18" customWidth="1"/>
    <col min="6" max="6" width="13.28515625" customWidth="1"/>
    <col min="7" max="7" width="12.42578125" customWidth="1"/>
    <col min="8" max="8" width="24.7109375" customWidth="1"/>
    <col min="9" max="9" width="28.5703125" customWidth="1"/>
    <col min="10" max="10" width="13.28515625" customWidth="1"/>
    <col min="11" max="11" width="10.42578125" customWidth="1"/>
    <col min="12" max="12" width="22.85546875" customWidth="1"/>
  </cols>
  <sheetData>
    <row r="1" spans="1:12" ht="42.75" customHeight="1" x14ac:dyDescent="0.25">
      <c r="A1" s="18" t="str">
        <f>"TERMINAL BLOCK LAYOUT — "&amp;Config!B6</f>
        <v>TERMINAL BLOCK LAYOUT — PRJ-26001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5.5" customHeight="1" x14ac:dyDescent="0.25">
      <c r="A2" s="19" t="s">
        <v>347</v>
      </c>
      <c r="B2" s="19"/>
      <c r="C2" s="19" t="s">
        <v>348</v>
      </c>
      <c r="D2" s="19"/>
      <c r="E2" s="19" t="str">
        <f>"Voltage: "&amp;Config!B19&amp;" / "&amp;Config!B20</f>
        <v>Voltage: 24 VDC / 400 VAC, 3-Phase, 50 Hz</v>
      </c>
      <c r="F2" s="19"/>
      <c r="G2" s="19"/>
      <c r="H2" s="19" t="str">
        <f>"PLC: "&amp;Config!B11&amp;" ("&amp;Config!B12&amp;")"</f>
        <v>PLC: WAGO Compact Controller 100 (751-9402)</v>
      </c>
      <c r="I2" s="19"/>
      <c r="J2" s="19"/>
      <c r="K2" s="19"/>
      <c r="L2" s="19"/>
    </row>
    <row r="3" spans="1:12" ht="18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0.100000000000001" customHeight="1" x14ac:dyDescent="0.25">
      <c r="A4" s="30" t="s">
        <v>349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ht="18" customHeight="1" x14ac:dyDescent="0.25">
      <c r="A5" s="5" t="s">
        <v>98</v>
      </c>
      <c r="B5" s="5" t="s">
        <v>99</v>
      </c>
      <c r="C5" s="5" t="s">
        <v>100</v>
      </c>
      <c r="D5" s="5" t="s">
        <v>101</v>
      </c>
      <c r="E5" s="5" t="s">
        <v>350</v>
      </c>
      <c r="F5" s="5" t="s">
        <v>51</v>
      </c>
      <c r="G5" s="5" t="s">
        <v>102</v>
      </c>
      <c r="H5" s="5" t="s">
        <v>103</v>
      </c>
      <c r="I5" s="5" t="s">
        <v>104</v>
      </c>
      <c r="J5" s="5" t="s">
        <v>105</v>
      </c>
      <c r="K5" s="5" t="s">
        <v>106</v>
      </c>
      <c r="L5" s="5" t="s">
        <v>107</v>
      </c>
    </row>
    <row r="6" spans="1:12" s="9" customFormat="1" ht="18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s="9" customFormat="1" ht="18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s="9" customFormat="1" ht="18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s="9" customFormat="1" ht="18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s="9" customFormat="1" ht="18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s="9" customFormat="1" ht="18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s="9" customFormat="1" ht="18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s="9" customFormat="1" ht="18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s="9" customFormat="1" ht="18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s="9" customFormat="1" ht="18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s="9" customFormat="1" ht="18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s="9" customFormat="1" ht="18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s="9" customFormat="1" ht="26.2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0.100000000000001" customHeight="1" x14ac:dyDescent="0.25">
      <c r="A19" s="30" t="s">
        <v>351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18" customHeight="1" x14ac:dyDescent="0.25">
      <c r="A20" s="5" t="s">
        <v>98</v>
      </c>
      <c r="B20" s="5" t="s">
        <v>99</v>
      </c>
      <c r="C20" s="5" t="s">
        <v>100</v>
      </c>
      <c r="D20" s="5" t="s">
        <v>101</v>
      </c>
      <c r="E20" s="5" t="s">
        <v>350</v>
      </c>
      <c r="F20" s="5" t="s">
        <v>51</v>
      </c>
      <c r="G20" s="5" t="s">
        <v>102</v>
      </c>
      <c r="H20" s="5" t="s">
        <v>103</v>
      </c>
      <c r="I20" s="5" t="s">
        <v>104</v>
      </c>
      <c r="J20" s="5" t="s">
        <v>105</v>
      </c>
      <c r="K20" s="5" t="s">
        <v>106</v>
      </c>
      <c r="L20" s="5" t="s">
        <v>107</v>
      </c>
    </row>
    <row r="21" spans="1:12" s="9" customFormat="1" ht="18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s="9" customFormat="1" ht="18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s="9" customFormat="1" ht="18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s="9" customFormat="1" ht="18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s="9" customFormat="1" ht="18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s="9" customFormat="1" ht="18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s="9" customFormat="1" ht="18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s="9" customFormat="1" ht="18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s="9" customFormat="1" ht="18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s="9" customFormat="1" ht="18" customHeight="1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s="9" customFormat="1" ht="18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s="9" customFormat="1" ht="18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s="9" customFormat="1" ht="18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s="9" customFormat="1" ht="18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18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8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s="9" customFormat="1" ht="18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s="9" customFormat="1" ht="18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s="9" customFormat="1" ht="26.2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9" customFormat="1" ht="20.100000000000001" customHeight="1" x14ac:dyDescent="0.25">
      <c r="A40" s="30" t="s">
        <v>352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s="9" customFormat="1" ht="18" customHeight="1" x14ac:dyDescent="0.25">
      <c r="A41" s="5" t="s">
        <v>98</v>
      </c>
      <c r="B41" s="5" t="s">
        <v>99</v>
      </c>
      <c r="C41" s="5" t="s">
        <v>100</v>
      </c>
      <c r="D41" s="5" t="s">
        <v>101</v>
      </c>
      <c r="E41" s="5" t="s">
        <v>350</v>
      </c>
      <c r="F41" s="5" t="s">
        <v>51</v>
      </c>
      <c r="G41" s="5" t="s">
        <v>102</v>
      </c>
      <c r="H41" s="5" t="s">
        <v>103</v>
      </c>
      <c r="I41" s="5" t="s">
        <v>104</v>
      </c>
      <c r="J41" s="5" t="s">
        <v>105</v>
      </c>
      <c r="K41" s="5" t="s">
        <v>106</v>
      </c>
      <c r="L41" s="5" t="s">
        <v>107</v>
      </c>
    </row>
    <row r="42" spans="1:12" s="9" customFormat="1" ht="18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s="9" customFormat="1" ht="18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s="9" customFormat="1" ht="18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s="9" customFormat="1" ht="18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spans="1:12" s="9" customFormat="1" ht="18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s="9" customFormat="1" ht="18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 s="9" customFormat="1" ht="18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s="9" customFormat="1" ht="18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 s="9" customFormat="1" ht="18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 s="9" customFormat="1" ht="18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 s="9" customFormat="1" ht="18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s="9" customFormat="1" ht="18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spans="1:12" s="9" customFormat="1" ht="18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s="9" customFormat="1" ht="18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spans="1:12" s="9" customFormat="1" ht="18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s="9" customFormat="1" ht="18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1:12" s="9" customFormat="1" ht="26.2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9" customFormat="1" ht="26.25" customHeight="1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s="9" customFormat="1" ht="26.25" customHeight="1" x14ac:dyDescent="0.25">
      <c r="A60"/>
      <c r="B60"/>
      <c r="C60"/>
      <c r="D60"/>
      <c r="E60"/>
      <c r="F60"/>
      <c r="G60"/>
      <c r="H60"/>
      <c r="I60"/>
      <c r="J60"/>
      <c r="K60"/>
      <c r="L60"/>
    </row>
  </sheetData>
  <mergeCells count="3">
    <mergeCell ref="A4:L4"/>
    <mergeCell ref="A19:L19"/>
    <mergeCell ref="A40:L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384C-6444-405D-B452-87A63116447A}">
  <dimension ref="A1:M28"/>
  <sheetViews>
    <sheetView showGridLines="0" workbookViewId="0">
      <pane ySplit="3" topLeftCell="A4" activePane="bottomLeft" state="frozen"/>
      <selection pane="bottomLeft" activeCell="P23" sqref="P23"/>
    </sheetView>
  </sheetViews>
  <sheetFormatPr defaultRowHeight="15" x14ac:dyDescent="0.25"/>
  <cols>
    <col min="1" max="1" width="6.7109375" customWidth="1"/>
    <col min="2" max="2" width="13.28515625" customWidth="1"/>
    <col min="3" max="3" width="31.42578125" customWidth="1"/>
    <col min="4" max="4" width="11.42578125" customWidth="1"/>
    <col min="5" max="5" width="12.42578125" customWidth="1"/>
    <col min="6" max="6" width="13.28515625" customWidth="1"/>
    <col min="7" max="7" width="15.28515625" customWidth="1"/>
    <col min="8" max="8" width="14.28515625" customWidth="1"/>
    <col min="9" max="9" width="17.140625" customWidth="1"/>
    <col min="10" max="10" width="22.85546875" customWidth="1"/>
    <col min="11" max="11" width="17.140625" customWidth="1"/>
    <col min="12" max="12" width="21" customWidth="1"/>
    <col min="13" max="13" width="24.7109375" customWidth="1"/>
  </cols>
  <sheetData>
    <row r="1" spans="1:13" ht="26.1" customHeight="1" x14ac:dyDescent="0.25">
      <c r="A1" s="1" t="str">
        <f>"CABLE DRUM REGISTER — "&amp;Config!B6</f>
        <v>CABLE DRUM REGISTER — PRJ-26001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95" customHeight="1" x14ac:dyDescent="0.25">
      <c r="A2" s="10" t="str">
        <f>"Project: "&amp;Config!B6&amp;"   |   Site: "&amp;Config!B8&amp;"   |   Maintained By: Electrical Foreman"</f>
        <v>Project: PRJ-26001   |   Site: Building J - Cyber3Lab, Howest Brugge, Belgium   |   Maintained By: Electrical Foreman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 x14ac:dyDescent="0.25">
      <c r="A3" s="20" t="s">
        <v>50</v>
      </c>
      <c r="B3" s="20" t="s">
        <v>108</v>
      </c>
      <c r="C3" s="20" t="s">
        <v>109</v>
      </c>
      <c r="D3" s="20" t="s">
        <v>110</v>
      </c>
      <c r="E3" s="20" t="s">
        <v>111</v>
      </c>
      <c r="F3" s="20" t="s">
        <v>62</v>
      </c>
      <c r="G3" s="20" t="s">
        <v>112</v>
      </c>
      <c r="H3" s="20" t="s">
        <v>113</v>
      </c>
      <c r="I3" s="20" t="s">
        <v>114</v>
      </c>
      <c r="J3" s="20" t="s">
        <v>115</v>
      </c>
      <c r="K3" s="20" t="s">
        <v>116</v>
      </c>
      <c r="L3" s="20" t="s">
        <v>117</v>
      </c>
      <c r="M3" s="20" t="s">
        <v>72</v>
      </c>
    </row>
    <row r="4" spans="1:13" s="9" customFormat="1" ht="18" customHeight="1" x14ac:dyDescent="0.25">
      <c r="A4" s="16">
        <v>1</v>
      </c>
      <c r="B4" s="13"/>
      <c r="C4" s="13"/>
      <c r="D4" s="13"/>
      <c r="E4" s="13"/>
      <c r="F4" s="13"/>
      <c r="G4" s="13"/>
      <c r="H4" s="13"/>
      <c r="I4" s="13" t="str">
        <f t="shared" ref="I4:I28" si="0">IF(G4="","",G4-H4)</f>
        <v/>
      </c>
      <c r="J4" s="13"/>
      <c r="K4" s="13"/>
      <c r="L4" s="13"/>
      <c r="M4" s="13"/>
    </row>
    <row r="5" spans="1:13" s="9" customFormat="1" ht="18" customHeight="1" x14ac:dyDescent="0.25">
      <c r="A5" s="17">
        <v>2</v>
      </c>
      <c r="B5" s="15"/>
      <c r="C5" s="15"/>
      <c r="D5" s="15"/>
      <c r="E5" s="15"/>
      <c r="F5" s="15"/>
      <c r="G5" s="15"/>
      <c r="H5" s="15"/>
      <c r="I5" s="15" t="str">
        <f t="shared" si="0"/>
        <v/>
      </c>
      <c r="J5" s="15"/>
      <c r="K5" s="15"/>
      <c r="L5" s="15"/>
      <c r="M5" s="15"/>
    </row>
    <row r="6" spans="1:13" s="9" customFormat="1" ht="18" customHeight="1" x14ac:dyDescent="0.25">
      <c r="A6" s="16">
        <v>3</v>
      </c>
      <c r="B6" s="13"/>
      <c r="C6" s="13"/>
      <c r="D6" s="13"/>
      <c r="E6" s="13"/>
      <c r="F6" s="13"/>
      <c r="G6" s="13"/>
      <c r="H6" s="13"/>
      <c r="I6" s="13" t="str">
        <f t="shared" si="0"/>
        <v/>
      </c>
      <c r="J6" s="13"/>
      <c r="K6" s="13"/>
      <c r="L6" s="13"/>
      <c r="M6" s="13"/>
    </row>
    <row r="7" spans="1:13" s="9" customFormat="1" ht="18" customHeight="1" x14ac:dyDescent="0.25">
      <c r="A7" s="17">
        <v>4</v>
      </c>
      <c r="B7" s="15"/>
      <c r="C7" s="15"/>
      <c r="D7" s="15"/>
      <c r="E7" s="15"/>
      <c r="F7" s="15"/>
      <c r="G7" s="15"/>
      <c r="H7" s="15"/>
      <c r="I7" s="15" t="str">
        <f t="shared" si="0"/>
        <v/>
      </c>
      <c r="J7" s="15"/>
      <c r="K7" s="15"/>
      <c r="L7" s="15"/>
      <c r="M7" s="15"/>
    </row>
    <row r="8" spans="1:13" s="9" customFormat="1" ht="18" customHeight="1" x14ac:dyDescent="0.25">
      <c r="A8" s="16">
        <v>5</v>
      </c>
      <c r="B8" s="13"/>
      <c r="C8" s="13"/>
      <c r="D8" s="13"/>
      <c r="E8" s="13"/>
      <c r="F8" s="13"/>
      <c r="G8" s="13"/>
      <c r="H8" s="13"/>
      <c r="I8" s="13" t="str">
        <f t="shared" si="0"/>
        <v/>
      </c>
      <c r="J8" s="13"/>
      <c r="K8" s="13"/>
      <c r="L8" s="13"/>
      <c r="M8" s="13"/>
    </row>
    <row r="9" spans="1:13" s="9" customFormat="1" ht="18" customHeight="1" x14ac:dyDescent="0.25">
      <c r="A9" s="17">
        <v>6</v>
      </c>
      <c r="B9" s="15"/>
      <c r="C9" s="15"/>
      <c r="D9" s="15"/>
      <c r="E9" s="15"/>
      <c r="F9" s="15"/>
      <c r="G9" s="15"/>
      <c r="H9" s="15"/>
      <c r="I9" s="15" t="str">
        <f t="shared" si="0"/>
        <v/>
      </c>
      <c r="J9" s="15"/>
      <c r="K9" s="15"/>
      <c r="L9" s="15"/>
      <c r="M9" s="15"/>
    </row>
    <row r="10" spans="1:13" s="9" customFormat="1" ht="18" customHeight="1" x14ac:dyDescent="0.25">
      <c r="A10" s="16">
        <v>7</v>
      </c>
      <c r="B10" s="13"/>
      <c r="C10" s="13"/>
      <c r="D10" s="13"/>
      <c r="E10" s="13"/>
      <c r="F10" s="13"/>
      <c r="G10" s="13"/>
      <c r="H10" s="13"/>
      <c r="I10" s="13" t="str">
        <f t="shared" si="0"/>
        <v/>
      </c>
      <c r="J10" s="13"/>
      <c r="K10" s="13"/>
      <c r="L10" s="13"/>
      <c r="M10" s="13"/>
    </row>
    <row r="11" spans="1:13" s="9" customFormat="1" ht="18" customHeight="1" x14ac:dyDescent="0.25">
      <c r="A11" s="17">
        <v>8</v>
      </c>
      <c r="B11" s="15"/>
      <c r="C11" s="15"/>
      <c r="D11" s="15"/>
      <c r="E11" s="15"/>
      <c r="F11" s="15"/>
      <c r="G11" s="15"/>
      <c r="H11" s="15"/>
      <c r="I11" s="15" t="str">
        <f t="shared" si="0"/>
        <v/>
      </c>
      <c r="J11" s="15"/>
      <c r="K11" s="15"/>
      <c r="L11" s="15"/>
      <c r="M11" s="15"/>
    </row>
    <row r="12" spans="1:13" s="9" customFormat="1" ht="18" customHeight="1" x14ac:dyDescent="0.25">
      <c r="A12" s="16">
        <v>9</v>
      </c>
      <c r="B12" s="13"/>
      <c r="C12" s="13"/>
      <c r="D12" s="13"/>
      <c r="E12" s="13"/>
      <c r="F12" s="13"/>
      <c r="G12" s="13"/>
      <c r="H12" s="13"/>
      <c r="I12" s="13" t="str">
        <f t="shared" si="0"/>
        <v/>
      </c>
      <c r="J12" s="13"/>
      <c r="K12" s="13"/>
      <c r="L12" s="13"/>
      <c r="M12" s="13"/>
    </row>
    <row r="13" spans="1:13" s="9" customFormat="1" ht="18" customHeight="1" x14ac:dyDescent="0.25">
      <c r="A13" s="17">
        <v>10</v>
      </c>
      <c r="B13" s="15"/>
      <c r="C13" s="15"/>
      <c r="D13" s="15"/>
      <c r="E13" s="15"/>
      <c r="F13" s="15"/>
      <c r="G13" s="15"/>
      <c r="H13" s="15"/>
      <c r="I13" s="15" t="str">
        <f t="shared" si="0"/>
        <v/>
      </c>
      <c r="J13" s="15"/>
      <c r="K13" s="15"/>
      <c r="L13" s="15"/>
      <c r="M13" s="15"/>
    </row>
    <row r="14" spans="1:13" s="9" customFormat="1" ht="18" customHeight="1" x14ac:dyDescent="0.25">
      <c r="A14" s="16">
        <v>11</v>
      </c>
      <c r="B14" s="13"/>
      <c r="C14" s="13"/>
      <c r="D14" s="13"/>
      <c r="E14" s="13"/>
      <c r="F14" s="13"/>
      <c r="G14" s="13"/>
      <c r="H14" s="13"/>
      <c r="I14" s="13" t="str">
        <f t="shared" si="0"/>
        <v/>
      </c>
      <c r="J14" s="13"/>
      <c r="K14" s="13"/>
      <c r="L14" s="13"/>
      <c r="M14" s="13"/>
    </row>
    <row r="15" spans="1:13" s="9" customFormat="1" ht="18" customHeight="1" x14ac:dyDescent="0.25">
      <c r="A15" s="17">
        <v>12</v>
      </c>
      <c r="B15" s="15"/>
      <c r="C15" s="15"/>
      <c r="D15" s="15"/>
      <c r="E15" s="15"/>
      <c r="F15" s="15"/>
      <c r="G15" s="15"/>
      <c r="H15" s="15"/>
      <c r="I15" s="15" t="str">
        <f t="shared" si="0"/>
        <v/>
      </c>
      <c r="J15" s="15"/>
      <c r="K15" s="15"/>
      <c r="L15" s="15"/>
      <c r="M15" s="15"/>
    </row>
    <row r="16" spans="1:13" s="9" customFormat="1" ht="18" customHeight="1" x14ac:dyDescent="0.25">
      <c r="A16" s="16">
        <v>13</v>
      </c>
      <c r="B16" s="13"/>
      <c r="C16" s="13"/>
      <c r="D16" s="13"/>
      <c r="E16" s="13"/>
      <c r="F16" s="13"/>
      <c r="G16" s="13"/>
      <c r="H16" s="13"/>
      <c r="I16" s="13" t="str">
        <f t="shared" si="0"/>
        <v/>
      </c>
      <c r="J16" s="13"/>
      <c r="K16" s="13"/>
      <c r="L16" s="13"/>
      <c r="M16" s="13"/>
    </row>
    <row r="17" spans="1:13" s="9" customFormat="1" ht="18" customHeight="1" x14ac:dyDescent="0.25">
      <c r="A17" s="17">
        <v>14</v>
      </c>
      <c r="B17" s="15"/>
      <c r="C17" s="15"/>
      <c r="D17" s="15"/>
      <c r="E17" s="15"/>
      <c r="F17" s="15"/>
      <c r="G17" s="15"/>
      <c r="H17" s="15"/>
      <c r="I17" s="15" t="str">
        <f t="shared" si="0"/>
        <v/>
      </c>
      <c r="J17" s="15"/>
      <c r="K17" s="15"/>
      <c r="L17" s="15"/>
      <c r="M17" s="15"/>
    </row>
    <row r="18" spans="1:13" s="9" customFormat="1" ht="18" customHeight="1" x14ac:dyDescent="0.25">
      <c r="A18" s="16">
        <v>15</v>
      </c>
      <c r="B18" s="13"/>
      <c r="C18" s="13"/>
      <c r="D18" s="13"/>
      <c r="E18" s="13"/>
      <c r="F18" s="13"/>
      <c r="G18" s="13"/>
      <c r="H18" s="13"/>
      <c r="I18" s="13" t="str">
        <f t="shared" si="0"/>
        <v/>
      </c>
      <c r="J18" s="13"/>
      <c r="K18" s="13"/>
      <c r="L18" s="13"/>
      <c r="M18" s="13"/>
    </row>
    <row r="19" spans="1:13" s="9" customFormat="1" ht="18" customHeight="1" x14ac:dyDescent="0.25">
      <c r="A19" s="17">
        <v>16</v>
      </c>
      <c r="B19" s="15"/>
      <c r="C19" s="15"/>
      <c r="D19" s="15"/>
      <c r="E19" s="15"/>
      <c r="F19" s="15"/>
      <c r="G19" s="15"/>
      <c r="H19" s="15"/>
      <c r="I19" s="15" t="str">
        <f t="shared" si="0"/>
        <v/>
      </c>
      <c r="J19" s="15"/>
      <c r="K19" s="15"/>
      <c r="L19" s="15"/>
      <c r="M19" s="15"/>
    </row>
    <row r="20" spans="1:13" s="9" customFormat="1" ht="18" customHeight="1" x14ac:dyDescent="0.25">
      <c r="A20" s="16">
        <v>17</v>
      </c>
      <c r="B20" s="13"/>
      <c r="C20" s="13"/>
      <c r="D20" s="13"/>
      <c r="E20" s="13"/>
      <c r="F20" s="13"/>
      <c r="G20" s="13"/>
      <c r="H20" s="13"/>
      <c r="I20" s="13" t="str">
        <f t="shared" si="0"/>
        <v/>
      </c>
      <c r="J20" s="13"/>
      <c r="K20" s="13"/>
      <c r="L20" s="13"/>
      <c r="M20" s="13"/>
    </row>
    <row r="21" spans="1:13" s="9" customFormat="1" ht="18" customHeight="1" x14ac:dyDescent="0.25">
      <c r="A21" s="17">
        <v>18</v>
      </c>
      <c r="B21" s="15"/>
      <c r="C21" s="15"/>
      <c r="D21" s="15"/>
      <c r="E21" s="15"/>
      <c r="F21" s="15"/>
      <c r="G21" s="15"/>
      <c r="H21" s="15"/>
      <c r="I21" s="15" t="str">
        <f t="shared" si="0"/>
        <v/>
      </c>
      <c r="J21" s="15"/>
      <c r="K21" s="15"/>
      <c r="L21" s="15"/>
      <c r="M21" s="15"/>
    </row>
    <row r="22" spans="1:13" s="9" customFormat="1" ht="18" customHeight="1" x14ac:dyDescent="0.25">
      <c r="A22" s="16">
        <v>19</v>
      </c>
      <c r="B22" s="13"/>
      <c r="C22" s="13"/>
      <c r="D22" s="13"/>
      <c r="E22" s="13"/>
      <c r="F22" s="13"/>
      <c r="G22" s="13"/>
      <c r="H22" s="13"/>
      <c r="I22" s="13" t="str">
        <f t="shared" si="0"/>
        <v/>
      </c>
      <c r="J22" s="13"/>
      <c r="K22" s="13"/>
      <c r="L22" s="13"/>
      <c r="M22" s="13"/>
    </row>
    <row r="23" spans="1:13" ht="18" customHeight="1" x14ac:dyDescent="0.25">
      <c r="A23" s="17">
        <v>20</v>
      </c>
      <c r="B23" s="15"/>
      <c r="C23" s="15"/>
      <c r="D23" s="15"/>
      <c r="E23" s="15"/>
      <c r="F23" s="15"/>
      <c r="G23" s="15"/>
      <c r="H23" s="15"/>
      <c r="I23" s="15" t="str">
        <f t="shared" si="0"/>
        <v/>
      </c>
      <c r="J23" s="15"/>
      <c r="K23" s="15"/>
      <c r="L23" s="15"/>
      <c r="M23" s="15"/>
    </row>
    <row r="24" spans="1:13" ht="18" customHeight="1" x14ac:dyDescent="0.25">
      <c r="A24" s="16">
        <v>21</v>
      </c>
      <c r="B24" s="13"/>
      <c r="C24" s="13"/>
      <c r="D24" s="13"/>
      <c r="E24" s="13"/>
      <c r="F24" s="13"/>
      <c r="G24" s="13"/>
      <c r="H24" s="13"/>
      <c r="I24" s="13" t="str">
        <f t="shared" si="0"/>
        <v/>
      </c>
      <c r="J24" s="13"/>
      <c r="K24" s="13"/>
      <c r="L24" s="13"/>
      <c r="M24" s="13"/>
    </row>
    <row r="25" spans="1:13" ht="18" customHeight="1" x14ac:dyDescent="0.25">
      <c r="A25" s="17">
        <v>22</v>
      </c>
      <c r="B25" s="15"/>
      <c r="C25" s="15"/>
      <c r="D25" s="15"/>
      <c r="E25" s="15"/>
      <c r="F25" s="15"/>
      <c r="G25" s="15"/>
      <c r="H25" s="15"/>
      <c r="I25" s="15" t="str">
        <f t="shared" si="0"/>
        <v/>
      </c>
      <c r="J25" s="15"/>
      <c r="K25" s="15"/>
      <c r="L25" s="15"/>
      <c r="M25" s="15"/>
    </row>
    <row r="26" spans="1:13" ht="18" customHeight="1" x14ac:dyDescent="0.25">
      <c r="A26" s="16">
        <v>23</v>
      </c>
      <c r="B26" s="13"/>
      <c r="C26" s="13"/>
      <c r="D26" s="13"/>
      <c r="E26" s="13"/>
      <c r="F26" s="13"/>
      <c r="G26" s="13"/>
      <c r="H26" s="13"/>
      <c r="I26" s="13" t="str">
        <f t="shared" si="0"/>
        <v/>
      </c>
      <c r="J26" s="13"/>
      <c r="K26" s="13"/>
      <c r="L26" s="13"/>
      <c r="M26" s="13"/>
    </row>
    <row r="27" spans="1:13" ht="18" customHeight="1" x14ac:dyDescent="0.25">
      <c r="A27" s="17">
        <v>24</v>
      </c>
      <c r="B27" s="15"/>
      <c r="C27" s="15"/>
      <c r="D27" s="15"/>
      <c r="E27" s="15"/>
      <c r="F27" s="15"/>
      <c r="G27" s="15"/>
      <c r="H27" s="15"/>
      <c r="I27" s="15" t="str">
        <f t="shared" si="0"/>
        <v/>
      </c>
      <c r="J27" s="15"/>
      <c r="K27" s="15"/>
      <c r="L27" s="15"/>
      <c r="M27" s="15"/>
    </row>
    <row r="28" spans="1:13" ht="18" customHeight="1" x14ac:dyDescent="0.25">
      <c r="A28" s="16">
        <v>25</v>
      </c>
      <c r="B28" s="13"/>
      <c r="C28" s="13"/>
      <c r="D28" s="13"/>
      <c r="E28" s="13"/>
      <c r="F28" s="13"/>
      <c r="G28" s="13"/>
      <c r="H28" s="13"/>
      <c r="I28" s="13" t="str">
        <f t="shared" si="0"/>
        <v/>
      </c>
      <c r="J28" s="13"/>
      <c r="K28" s="13"/>
      <c r="L28" s="13"/>
      <c r="M28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A2C3-B572-49A1-B5B4-408F4C3EA7A4}">
  <dimension ref="A1:H80"/>
  <sheetViews>
    <sheetView showGridLines="0" workbookViewId="0">
      <pane ySplit="1" topLeftCell="A2" activePane="bottomLeft" state="frozen"/>
      <selection pane="bottomLeft" activeCell="J16" sqref="J16"/>
    </sheetView>
  </sheetViews>
  <sheetFormatPr defaultRowHeight="15" x14ac:dyDescent="0.25"/>
  <cols>
    <col min="1" max="1" width="24.7109375" customWidth="1"/>
    <col min="2" max="2" width="41.85546875" customWidth="1"/>
    <col min="3" max="3" width="30.42578125" customWidth="1"/>
    <col min="4" max="4" width="38.140625" customWidth="1"/>
    <col min="5" max="5" width="17.140625" customWidth="1"/>
    <col min="6" max="6" width="38.140625" customWidth="1"/>
    <col min="7" max="7" width="19" customWidth="1"/>
    <col min="8" max="8" width="24.7109375" customWidth="1"/>
  </cols>
  <sheetData>
    <row r="1" spans="1:8" ht="26.1" customHeight="1" x14ac:dyDescent="0.25">
      <c r="A1" s="18" t="str">
        <f>"WIRING LEGEND, COLOR CODES &amp; STANDARDS — "&amp;Config!B6</f>
        <v>WIRING LEGEND, COLOR CODES &amp; STANDARDS — PRJ-26001</v>
      </c>
      <c r="B1" s="18"/>
      <c r="C1" s="18"/>
      <c r="D1" s="18"/>
      <c r="E1" s="18"/>
      <c r="F1" s="18"/>
      <c r="G1" s="18"/>
      <c r="H1" s="18"/>
    </row>
    <row r="2" spans="1:8" ht="18" customHeight="1" x14ac:dyDescent="0.25">
      <c r="A2" s="3"/>
      <c r="B2" s="3"/>
      <c r="C2" s="3"/>
      <c r="D2" s="3"/>
      <c r="E2" s="3"/>
      <c r="F2" s="3"/>
      <c r="G2" s="3"/>
      <c r="H2" s="3"/>
    </row>
    <row r="3" spans="1:8" ht="20.100000000000001" customHeight="1" x14ac:dyDescent="0.25">
      <c r="A3" s="30" t="s">
        <v>118</v>
      </c>
      <c r="B3" s="30"/>
      <c r="C3" s="30"/>
      <c r="D3" s="30"/>
      <c r="E3" s="30"/>
      <c r="F3" s="30"/>
      <c r="G3" s="30"/>
      <c r="H3" s="30"/>
    </row>
    <row r="4" spans="1:8" ht="18" customHeight="1" x14ac:dyDescent="0.25">
      <c r="A4" s="5" t="s">
        <v>119</v>
      </c>
      <c r="B4" s="5" t="s">
        <v>101</v>
      </c>
      <c r="C4" s="5" t="s">
        <v>120</v>
      </c>
      <c r="D4" s="5" t="s">
        <v>121</v>
      </c>
      <c r="E4" s="5" t="s">
        <v>122</v>
      </c>
      <c r="F4" s="5" t="s">
        <v>123</v>
      </c>
      <c r="G4" s="5" t="s">
        <v>124</v>
      </c>
      <c r="H4" s="5" t="s">
        <v>107</v>
      </c>
    </row>
    <row r="5" spans="1:8" ht="18" customHeight="1" x14ac:dyDescent="0.25">
      <c r="A5" s="13"/>
      <c r="B5" s="13"/>
      <c r="C5" s="13"/>
      <c r="D5" s="13"/>
      <c r="E5" s="13"/>
      <c r="F5" s="13"/>
      <c r="G5" s="13"/>
      <c r="H5" s="13"/>
    </row>
    <row r="6" spans="1:8" ht="18" customHeight="1" x14ac:dyDescent="0.25">
      <c r="A6" s="15"/>
      <c r="B6" s="15"/>
      <c r="C6" s="15"/>
      <c r="D6" s="15"/>
      <c r="E6" s="15"/>
      <c r="F6" s="15"/>
      <c r="G6" s="15"/>
      <c r="H6" s="15"/>
    </row>
    <row r="7" spans="1:8" ht="18" customHeight="1" x14ac:dyDescent="0.25">
      <c r="A7" s="13"/>
      <c r="B7" s="13"/>
      <c r="C7" s="13"/>
      <c r="D7" s="13"/>
      <c r="E7" s="13"/>
      <c r="F7" s="13"/>
      <c r="G7" s="13"/>
      <c r="H7" s="13"/>
    </row>
    <row r="8" spans="1:8" ht="18" customHeight="1" x14ac:dyDescent="0.25">
      <c r="A8" s="15"/>
      <c r="B8" s="15"/>
      <c r="C8" s="15"/>
      <c r="D8" s="15"/>
      <c r="E8" s="15"/>
      <c r="F8" s="15"/>
      <c r="G8" s="15"/>
      <c r="H8" s="15"/>
    </row>
    <row r="9" spans="1:8" ht="18" customHeight="1" x14ac:dyDescent="0.25">
      <c r="A9" s="13"/>
      <c r="B9" s="13"/>
      <c r="C9" s="13"/>
      <c r="D9" s="13"/>
      <c r="E9" s="13"/>
      <c r="F9" s="13"/>
      <c r="G9" s="13"/>
      <c r="H9" s="13"/>
    </row>
    <row r="10" spans="1:8" ht="18" customHeight="1" x14ac:dyDescent="0.25">
      <c r="A10" s="15"/>
      <c r="B10" s="15"/>
      <c r="C10" s="15"/>
      <c r="D10" s="15"/>
      <c r="E10" s="15"/>
      <c r="F10" s="15"/>
      <c r="G10" s="15"/>
      <c r="H10" s="15"/>
    </row>
    <row r="11" spans="1:8" ht="18" customHeight="1" x14ac:dyDescent="0.25">
      <c r="A11" s="13"/>
      <c r="B11" s="13"/>
      <c r="C11" s="13"/>
      <c r="D11" s="13"/>
      <c r="E11" s="13"/>
      <c r="F11" s="13"/>
      <c r="G11" s="13"/>
      <c r="H11" s="13"/>
    </row>
    <row r="12" spans="1:8" ht="18" customHeight="1" x14ac:dyDescent="0.25">
      <c r="A12" s="15"/>
      <c r="B12" s="15"/>
      <c r="C12" s="15"/>
      <c r="D12" s="15"/>
      <c r="E12" s="15"/>
      <c r="F12" s="15"/>
      <c r="G12" s="15"/>
      <c r="H12" s="15"/>
    </row>
    <row r="13" spans="1:8" ht="18" customHeight="1" x14ac:dyDescent="0.25">
      <c r="A13" s="13"/>
      <c r="B13" s="13"/>
      <c r="C13" s="13"/>
      <c r="D13" s="13"/>
      <c r="E13" s="13"/>
      <c r="F13" s="13"/>
      <c r="G13" s="13"/>
      <c r="H13" s="13"/>
    </row>
    <row r="14" spans="1:8" ht="18" customHeight="1" x14ac:dyDescent="0.25">
      <c r="A14" s="15"/>
      <c r="B14" s="15"/>
      <c r="C14" s="15"/>
      <c r="D14" s="15"/>
      <c r="E14" s="15"/>
      <c r="F14" s="15"/>
      <c r="G14" s="15"/>
      <c r="H14" s="15"/>
    </row>
    <row r="15" spans="1:8" ht="18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18" customHeight="1" x14ac:dyDescent="0.25">
      <c r="A16" s="15"/>
      <c r="B16" s="15"/>
      <c r="C16" s="15"/>
      <c r="D16" s="15"/>
      <c r="E16" s="15"/>
      <c r="F16" s="15"/>
      <c r="G16" s="15"/>
      <c r="H16" s="15"/>
    </row>
    <row r="17" spans="1:8" ht="18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20.100000000000001" customHeight="1" x14ac:dyDescent="0.25">
      <c r="A18" s="30" t="s">
        <v>127</v>
      </c>
      <c r="B18" s="30"/>
      <c r="C18" s="30"/>
      <c r="D18" s="30"/>
      <c r="E18" s="30"/>
      <c r="F18" s="30"/>
      <c r="G18" s="30"/>
      <c r="H18" s="30"/>
    </row>
    <row r="19" spans="1:8" ht="18" customHeight="1" x14ac:dyDescent="0.25">
      <c r="A19" s="5" t="s">
        <v>128</v>
      </c>
      <c r="B19" s="5" t="s">
        <v>129</v>
      </c>
      <c r="C19" s="5" t="s">
        <v>130</v>
      </c>
      <c r="D19" s="5" t="s">
        <v>131</v>
      </c>
      <c r="E19" s="5" t="s">
        <v>132</v>
      </c>
      <c r="F19" s="5" t="s">
        <v>122</v>
      </c>
      <c r="G19" s="5" t="s">
        <v>133</v>
      </c>
      <c r="H19" s="5" t="s">
        <v>107</v>
      </c>
    </row>
    <row r="20" spans="1:8" ht="18" customHeight="1" x14ac:dyDescent="0.25">
      <c r="A20" s="13"/>
      <c r="B20" s="13"/>
      <c r="C20" s="13"/>
      <c r="D20" s="13"/>
      <c r="E20" s="13"/>
      <c r="F20" s="13"/>
      <c r="G20" s="13"/>
      <c r="H20" s="13"/>
    </row>
    <row r="21" spans="1:8" ht="18" customHeight="1" x14ac:dyDescent="0.25">
      <c r="A21" s="15"/>
      <c r="B21" s="15"/>
      <c r="C21" s="15"/>
      <c r="D21" s="15"/>
      <c r="E21" s="15"/>
      <c r="F21" s="15"/>
      <c r="G21" s="15"/>
      <c r="H21" s="15"/>
    </row>
    <row r="22" spans="1:8" ht="18" customHeight="1" x14ac:dyDescent="0.25">
      <c r="A22" s="13"/>
      <c r="B22" s="13"/>
      <c r="C22" s="13"/>
      <c r="D22" s="13"/>
      <c r="E22" s="13"/>
      <c r="F22" s="13"/>
      <c r="G22" s="13"/>
      <c r="H22" s="13"/>
    </row>
    <row r="23" spans="1:8" ht="18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18" customHeight="1" x14ac:dyDescent="0.25">
      <c r="A24" s="13"/>
      <c r="B24" s="13"/>
      <c r="C24" s="13"/>
      <c r="D24" s="13"/>
      <c r="E24" s="13"/>
      <c r="F24" s="13"/>
      <c r="G24" s="13"/>
      <c r="H24" s="13"/>
    </row>
    <row r="25" spans="1:8" ht="18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18" customHeight="1" x14ac:dyDescent="0.25">
      <c r="A26" s="13"/>
      <c r="B26" s="13"/>
      <c r="C26" s="13"/>
      <c r="D26" s="13"/>
      <c r="E26" s="13"/>
      <c r="F26" s="13"/>
      <c r="G26" s="13"/>
      <c r="H26" s="13"/>
    </row>
    <row r="27" spans="1:8" ht="18" customHeight="1" x14ac:dyDescent="0.25">
      <c r="A27" s="15"/>
      <c r="B27" s="15"/>
      <c r="C27" s="15"/>
      <c r="D27" s="15"/>
      <c r="E27" s="15"/>
      <c r="F27" s="15"/>
      <c r="G27" s="15"/>
      <c r="H27" s="15"/>
    </row>
    <row r="28" spans="1:8" ht="18" customHeight="1" x14ac:dyDescent="0.25">
      <c r="A28" s="13"/>
      <c r="B28" s="13"/>
      <c r="C28" s="13"/>
      <c r="D28" s="13"/>
      <c r="E28" s="13"/>
      <c r="F28" s="13"/>
      <c r="G28" s="13"/>
      <c r="H28" s="13"/>
    </row>
    <row r="29" spans="1:8" ht="18" customHeight="1" x14ac:dyDescent="0.25">
      <c r="A29" s="15"/>
      <c r="B29" s="15"/>
      <c r="C29" s="15"/>
      <c r="D29" s="15"/>
      <c r="E29" s="15"/>
      <c r="F29" s="15"/>
      <c r="G29" s="15"/>
      <c r="H29" s="15"/>
    </row>
    <row r="30" spans="1:8" ht="18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20.100000000000001" customHeight="1" x14ac:dyDescent="0.25">
      <c r="A31" s="30" t="s">
        <v>138</v>
      </c>
      <c r="B31" s="30"/>
      <c r="C31" s="30"/>
      <c r="D31" s="30"/>
      <c r="E31" s="30"/>
      <c r="F31" s="30"/>
      <c r="G31" s="30"/>
      <c r="H31" s="30"/>
    </row>
    <row r="32" spans="1:8" ht="18" customHeight="1" x14ac:dyDescent="0.25">
      <c r="A32" s="5" t="s">
        <v>139</v>
      </c>
      <c r="B32" s="5" t="s">
        <v>140</v>
      </c>
      <c r="C32" s="5" t="s">
        <v>139</v>
      </c>
      <c r="D32" s="5" t="s">
        <v>140</v>
      </c>
      <c r="E32" s="3"/>
      <c r="F32" s="3"/>
      <c r="G32" s="3"/>
      <c r="H32" s="3"/>
    </row>
    <row r="33" spans="1:8" ht="18" customHeight="1" x14ac:dyDescent="0.25">
      <c r="A33" s="13"/>
      <c r="B33" s="13"/>
      <c r="C33" s="13"/>
      <c r="D33" s="13"/>
      <c r="E33" s="3"/>
      <c r="F33" s="3"/>
      <c r="G33" s="3"/>
      <c r="H33" s="3"/>
    </row>
    <row r="34" spans="1:8" ht="18" customHeight="1" x14ac:dyDescent="0.25">
      <c r="A34" s="15"/>
      <c r="B34" s="15"/>
      <c r="C34" s="15"/>
      <c r="D34" s="15"/>
      <c r="E34" s="3"/>
      <c r="F34" s="3"/>
      <c r="G34" s="3"/>
      <c r="H34" s="3"/>
    </row>
    <row r="35" spans="1:8" ht="18" customHeight="1" x14ac:dyDescent="0.25">
      <c r="A35" s="13"/>
      <c r="B35" s="13"/>
      <c r="C35" s="13"/>
      <c r="D35" s="13"/>
      <c r="E35" s="3"/>
      <c r="F35" s="3"/>
      <c r="G35" s="3"/>
      <c r="H35" s="3"/>
    </row>
    <row r="36" spans="1:8" ht="18" customHeight="1" x14ac:dyDescent="0.25">
      <c r="A36" s="15"/>
      <c r="B36" s="15"/>
      <c r="C36" s="15"/>
      <c r="D36" s="15"/>
      <c r="E36" s="3"/>
      <c r="F36" s="3"/>
      <c r="G36" s="3"/>
      <c r="H36" s="3"/>
    </row>
    <row r="37" spans="1:8" ht="18" customHeight="1" x14ac:dyDescent="0.25">
      <c r="A37" s="13"/>
      <c r="B37" s="13"/>
      <c r="C37" s="13"/>
      <c r="D37" s="13"/>
      <c r="E37" s="3"/>
      <c r="F37" s="3"/>
      <c r="G37" s="3"/>
      <c r="H37" s="3"/>
    </row>
    <row r="38" spans="1:8" ht="18" customHeight="1" x14ac:dyDescent="0.25">
      <c r="A38" s="15"/>
      <c r="B38" s="15"/>
      <c r="C38" s="15"/>
      <c r="D38" s="15"/>
      <c r="E38" s="3"/>
      <c r="F38" s="3"/>
      <c r="G38" s="3"/>
      <c r="H38" s="3"/>
    </row>
    <row r="39" spans="1:8" ht="18" customHeight="1" x14ac:dyDescent="0.25">
      <c r="A39" s="13"/>
      <c r="B39" s="13"/>
      <c r="C39" s="13"/>
      <c r="D39" s="13"/>
      <c r="E39" s="3"/>
      <c r="F39" s="3"/>
      <c r="G39" s="3"/>
      <c r="H39" s="3"/>
    </row>
    <row r="40" spans="1:8" ht="18" customHeight="1" x14ac:dyDescent="0.25">
      <c r="A40" s="15"/>
      <c r="B40" s="15"/>
      <c r="C40" s="15"/>
      <c r="D40" s="15"/>
      <c r="E40" s="3"/>
      <c r="F40" s="3"/>
      <c r="G40" s="3"/>
      <c r="H40" s="3"/>
    </row>
    <row r="41" spans="1:8" ht="18" customHeight="1" x14ac:dyDescent="0.25">
      <c r="A41" s="13"/>
      <c r="B41" s="13"/>
      <c r="C41" s="13"/>
      <c r="D41" s="13"/>
      <c r="E41" s="3"/>
      <c r="F41" s="3"/>
      <c r="G41" s="3"/>
      <c r="H41" s="3"/>
    </row>
    <row r="42" spans="1:8" ht="18" customHeight="1" x14ac:dyDescent="0.25">
      <c r="A42" s="15"/>
      <c r="B42" s="15"/>
      <c r="C42" s="15"/>
      <c r="D42" s="15"/>
      <c r="E42" s="3"/>
      <c r="F42" s="3"/>
      <c r="G42" s="3"/>
      <c r="H42" s="3"/>
    </row>
    <row r="43" spans="1:8" ht="18" customHeight="1" x14ac:dyDescent="0.25">
      <c r="A43" s="13"/>
      <c r="B43" s="13"/>
      <c r="C43" s="13"/>
      <c r="D43" s="13"/>
      <c r="E43" s="3"/>
      <c r="F43" s="3"/>
      <c r="G43" s="3"/>
      <c r="H43" s="3"/>
    </row>
    <row r="44" spans="1:8" ht="18" customHeight="1" x14ac:dyDescent="0.25">
      <c r="A44" s="15"/>
      <c r="B44" s="15"/>
      <c r="C44" s="15"/>
      <c r="D44" s="15"/>
      <c r="E44" s="3"/>
      <c r="F44" s="3"/>
      <c r="G44" s="3"/>
      <c r="H44" s="3"/>
    </row>
    <row r="45" spans="1:8" ht="18" customHeight="1" x14ac:dyDescent="0.25">
      <c r="A45" s="13"/>
      <c r="B45" s="13"/>
      <c r="C45" s="13"/>
      <c r="D45" s="13"/>
      <c r="E45" s="3"/>
      <c r="F45" s="3"/>
      <c r="G45" s="3"/>
      <c r="H45" s="3"/>
    </row>
    <row r="46" spans="1:8" ht="18" customHeight="1" x14ac:dyDescent="0.25">
      <c r="A46" s="15"/>
      <c r="B46" s="15"/>
      <c r="C46" s="15"/>
      <c r="D46" s="15"/>
      <c r="E46" s="3"/>
      <c r="F46" s="3"/>
      <c r="G46" s="3"/>
      <c r="H46" s="3"/>
    </row>
    <row r="47" spans="1:8" ht="18" customHeight="1" x14ac:dyDescent="0.25">
      <c r="A47" s="13"/>
      <c r="B47" s="13"/>
      <c r="C47" s="13"/>
      <c r="D47" s="13"/>
      <c r="E47" s="3"/>
      <c r="F47" s="3"/>
      <c r="G47" s="3"/>
      <c r="H47" s="3"/>
    </row>
    <row r="48" spans="1:8" ht="18" customHeight="1" x14ac:dyDescent="0.25">
      <c r="A48" s="15"/>
      <c r="B48" s="15"/>
      <c r="C48" s="15"/>
      <c r="D48" s="15"/>
      <c r="E48" s="3"/>
      <c r="F48" s="3"/>
      <c r="G48" s="3"/>
      <c r="H48" s="3"/>
    </row>
    <row r="49" spans="1:8" ht="18" customHeight="1" x14ac:dyDescent="0.25">
      <c r="A49" s="3"/>
      <c r="B49" s="3"/>
      <c r="C49" s="3"/>
      <c r="D49" s="3"/>
      <c r="E49" s="3"/>
      <c r="F49" s="3"/>
      <c r="G49" s="3"/>
      <c r="H49" s="3"/>
    </row>
    <row r="50" spans="1:8" ht="20.100000000000001" customHeight="1" x14ac:dyDescent="0.25">
      <c r="A50" s="30" t="s">
        <v>141</v>
      </c>
      <c r="B50" s="30"/>
      <c r="C50" s="30"/>
      <c r="D50" s="30"/>
      <c r="E50" s="30"/>
      <c r="F50" s="30"/>
      <c r="G50" s="30"/>
      <c r="H50" s="30"/>
    </row>
    <row r="51" spans="1:8" ht="18" customHeight="1" x14ac:dyDescent="0.25">
      <c r="A51" s="5" t="s">
        <v>130</v>
      </c>
      <c r="B51" s="5" t="s">
        <v>142</v>
      </c>
      <c r="C51" s="5" t="s">
        <v>143</v>
      </c>
      <c r="D51" s="5" t="s">
        <v>107</v>
      </c>
      <c r="E51" s="3"/>
      <c r="F51" s="3"/>
      <c r="G51" s="3"/>
      <c r="H51" s="3"/>
    </row>
    <row r="52" spans="1:8" ht="18" customHeight="1" x14ac:dyDescent="0.25">
      <c r="A52" s="13" t="s">
        <v>144</v>
      </c>
      <c r="B52" s="13" t="s">
        <v>145</v>
      </c>
      <c r="C52" s="13" t="s">
        <v>353</v>
      </c>
      <c r="D52" s="13" t="s">
        <v>354</v>
      </c>
      <c r="E52" s="3"/>
      <c r="F52" s="3"/>
      <c r="G52" s="3"/>
      <c r="H52" s="3"/>
    </row>
    <row r="53" spans="1:8" ht="18" customHeight="1" x14ac:dyDescent="0.25">
      <c r="A53" s="15" t="s">
        <v>136</v>
      </c>
      <c r="B53" s="15" t="s">
        <v>146</v>
      </c>
      <c r="C53" s="15" t="s">
        <v>147</v>
      </c>
      <c r="D53" s="15"/>
      <c r="E53" s="3"/>
      <c r="F53" s="3"/>
      <c r="G53" s="3"/>
      <c r="H53" s="3"/>
    </row>
    <row r="54" spans="1:8" ht="18" customHeight="1" x14ac:dyDescent="0.25">
      <c r="A54" s="13" t="s">
        <v>125</v>
      </c>
      <c r="B54" s="13" t="s">
        <v>355</v>
      </c>
      <c r="C54" s="13" t="s">
        <v>356</v>
      </c>
      <c r="D54" s="13" t="s">
        <v>148</v>
      </c>
      <c r="E54" s="3"/>
      <c r="F54" s="3"/>
      <c r="G54" s="3"/>
      <c r="H54" s="3"/>
    </row>
    <row r="55" spans="1:8" ht="18" customHeight="1" x14ac:dyDescent="0.25">
      <c r="A55" s="15" t="s">
        <v>135</v>
      </c>
      <c r="B55" s="15" t="s">
        <v>357</v>
      </c>
      <c r="C55" s="15" t="s">
        <v>149</v>
      </c>
      <c r="D55" s="15" t="s">
        <v>358</v>
      </c>
      <c r="E55" s="3"/>
      <c r="F55" s="3"/>
      <c r="G55" s="3"/>
      <c r="H55" s="3"/>
    </row>
    <row r="56" spans="1:8" ht="18" customHeight="1" x14ac:dyDescent="0.25">
      <c r="A56" s="13" t="s">
        <v>126</v>
      </c>
      <c r="B56" s="13" t="s">
        <v>150</v>
      </c>
      <c r="C56" s="13" t="s">
        <v>151</v>
      </c>
      <c r="D56" s="13" t="s">
        <v>152</v>
      </c>
      <c r="E56" s="3"/>
      <c r="F56" s="3"/>
      <c r="G56" s="3"/>
      <c r="H56" s="3"/>
    </row>
    <row r="57" spans="1:8" ht="18" customHeight="1" x14ac:dyDescent="0.25">
      <c r="A57" s="15" t="s">
        <v>153</v>
      </c>
      <c r="B57" s="15" t="s">
        <v>154</v>
      </c>
      <c r="C57" s="15" t="s">
        <v>155</v>
      </c>
      <c r="D57" s="15" t="s">
        <v>156</v>
      </c>
      <c r="E57" s="3"/>
      <c r="F57" s="3"/>
      <c r="G57" s="3"/>
      <c r="H57" s="3"/>
    </row>
    <row r="58" spans="1:8" ht="18" customHeight="1" x14ac:dyDescent="0.25">
      <c r="A58" s="13" t="s">
        <v>137</v>
      </c>
      <c r="B58" s="13" t="s">
        <v>157</v>
      </c>
      <c r="C58" s="13" t="s">
        <v>359</v>
      </c>
      <c r="D58" s="13" t="s">
        <v>158</v>
      </c>
      <c r="E58" s="3"/>
      <c r="F58" s="3"/>
      <c r="G58" s="3"/>
      <c r="H58" s="3"/>
    </row>
    <row r="59" spans="1:8" ht="18" customHeight="1" x14ac:dyDescent="0.25">
      <c r="A59" s="15" t="s">
        <v>159</v>
      </c>
      <c r="B59" s="15" t="s">
        <v>160</v>
      </c>
      <c r="C59" s="15" t="s">
        <v>161</v>
      </c>
      <c r="D59" s="15" t="s">
        <v>162</v>
      </c>
      <c r="E59" s="3"/>
      <c r="F59" s="3"/>
      <c r="G59" s="3"/>
      <c r="H59" s="3"/>
    </row>
    <row r="60" spans="1:8" ht="18" customHeight="1" x14ac:dyDescent="0.25">
      <c r="A60" s="13" t="s">
        <v>134</v>
      </c>
      <c r="B60" s="13" t="s">
        <v>163</v>
      </c>
      <c r="C60" s="13" t="s">
        <v>164</v>
      </c>
      <c r="D60" s="13" t="s">
        <v>165</v>
      </c>
      <c r="E60" s="3"/>
      <c r="F60" s="3"/>
      <c r="G60" s="3"/>
      <c r="H60" s="3"/>
    </row>
    <row r="61" spans="1:8" ht="18" customHeight="1" x14ac:dyDescent="0.25">
      <c r="A61" s="15" t="s">
        <v>166</v>
      </c>
      <c r="B61" s="15" t="s">
        <v>167</v>
      </c>
      <c r="C61" s="15" t="s">
        <v>168</v>
      </c>
      <c r="D61" s="15" t="s">
        <v>169</v>
      </c>
      <c r="E61" s="3"/>
      <c r="F61" s="3"/>
      <c r="G61" s="3"/>
      <c r="H61" s="3"/>
    </row>
    <row r="62" spans="1:8" ht="18" customHeight="1" x14ac:dyDescent="0.25">
      <c r="A62" s="3"/>
      <c r="B62" s="3"/>
      <c r="C62" s="3"/>
      <c r="D62" s="3"/>
      <c r="E62" s="3"/>
      <c r="F62" s="3"/>
      <c r="G62" s="3"/>
      <c r="H62" s="3"/>
    </row>
    <row r="63" spans="1:8" ht="20.100000000000001" customHeight="1" x14ac:dyDescent="0.25">
      <c r="A63" s="30" t="s">
        <v>360</v>
      </c>
      <c r="B63" s="30"/>
      <c r="C63" s="30"/>
      <c r="D63" s="30"/>
      <c r="E63" s="30"/>
      <c r="F63" s="30"/>
      <c r="G63" s="30"/>
      <c r="H63" s="30"/>
    </row>
    <row r="64" spans="1:8" ht="18" customHeight="1" x14ac:dyDescent="0.25">
      <c r="A64" s="5" t="s">
        <v>238</v>
      </c>
      <c r="B64" s="5" t="s">
        <v>361</v>
      </c>
      <c r="C64" s="5" t="s">
        <v>66</v>
      </c>
      <c r="D64" s="5" t="s">
        <v>362</v>
      </c>
      <c r="E64" s="3"/>
      <c r="F64" s="3"/>
      <c r="G64" s="3"/>
      <c r="H64" s="3"/>
    </row>
    <row r="65" spans="1:8" ht="18" customHeight="1" x14ac:dyDescent="0.25">
      <c r="A65" s="13" t="s">
        <v>363</v>
      </c>
      <c r="B65" s="13" t="s">
        <v>364</v>
      </c>
      <c r="C65" s="13" t="s">
        <v>365</v>
      </c>
      <c r="D65" s="13" t="s">
        <v>366</v>
      </c>
      <c r="E65" s="3"/>
      <c r="F65" s="3"/>
      <c r="G65" s="3"/>
      <c r="H65" s="3"/>
    </row>
    <row r="66" spans="1:8" ht="18" customHeight="1" x14ac:dyDescent="0.25">
      <c r="A66" s="15" t="s">
        <v>367</v>
      </c>
      <c r="B66" s="15" t="s">
        <v>368</v>
      </c>
      <c r="C66" s="15" t="s">
        <v>369</v>
      </c>
      <c r="D66" s="15" t="s">
        <v>370</v>
      </c>
      <c r="E66" s="3"/>
      <c r="F66" s="3"/>
      <c r="G66" s="3"/>
      <c r="H66" s="3"/>
    </row>
    <row r="67" spans="1:8" ht="18" customHeight="1" x14ac:dyDescent="0.25">
      <c r="A67" s="13" t="s">
        <v>371</v>
      </c>
      <c r="B67" s="13" t="s">
        <v>372</v>
      </c>
      <c r="C67" s="13" t="s">
        <v>373</v>
      </c>
      <c r="D67" s="13" t="s">
        <v>374</v>
      </c>
      <c r="E67" s="3"/>
      <c r="F67" s="3"/>
      <c r="G67" s="3"/>
      <c r="H67" s="3"/>
    </row>
    <row r="68" spans="1:8" ht="18" customHeight="1" x14ac:dyDescent="0.25">
      <c r="A68" s="15" t="s">
        <v>375</v>
      </c>
      <c r="B68" s="15" t="s">
        <v>376</v>
      </c>
      <c r="C68" s="15" t="s">
        <v>377</v>
      </c>
      <c r="D68" s="15" t="s">
        <v>378</v>
      </c>
      <c r="E68" s="3"/>
      <c r="F68" s="3"/>
      <c r="G68" s="3"/>
      <c r="H68" s="3"/>
    </row>
    <row r="69" spans="1:8" ht="18" customHeight="1" x14ac:dyDescent="0.25">
      <c r="A69" s="13" t="s">
        <v>379</v>
      </c>
      <c r="B69" s="13" t="s">
        <v>380</v>
      </c>
      <c r="C69" s="13" t="s">
        <v>381</v>
      </c>
      <c r="D69" s="13" t="s">
        <v>382</v>
      </c>
      <c r="E69" s="3"/>
      <c r="F69" s="3"/>
      <c r="G69" s="3"/>
      <c r="H69" s="3"/>
    </row>
    <row r="70" spans="1:8" ht="18" customHeight="1" x14ac:dyDescent="0.25">
      <c r="A70" s="15" t="s">
        <v>383</v>
      </c>
      <c r="B70" s="15" t="s">
        <v>384</v>
      </c>
      <c r="C70" s="15" t="s">
        <v>385</v>
      </c>
      <c r="D70" s="15" t="s">
        <v>386</v>
      </c>
      <c r="E70" s="3"/>
      <c r="F70" s="3"/>
      <c r="G70" s="3"/>
      <c r="H70" s="3"/>
    </row>
    <row r="71" spans="1:8" ht="18" customHeight="1" x14ac:dyDescent="0.25">
      <c r="A71" s="13" t="s">
        <v>387</v>
      </c>
      <c r="B71" s="13" t="s">
        <v>388</v>
      </c>
      <c r="C71" s="13" t="s">
        <v>389</v>
      </c>
      <c r="D71" s="13" t="s">
        <v>390</v>
      </c>
      <c r="E71" s="3"/>
      <c r="F71" s="3"/>
      <c r="G71" s="3"/>
      <c r="H71" s="3"/>
    </row>
    <row r="72" spans="1:8" ht="18" customHeight="1" x14ac:dyDescent="0.25">
      <c r="A72" s="3"/>
      <c r="B72" s="3"/>
      <c r="C72" s="3"/>
      <c r="D72" s="3"/>
      <c r="E72" s="3"/>
      <c r="F72" s="3"/>
      <c r="G72" s="3"/>
      <c r="H72" s="3"/>
    </row>
    <row r="73" spans="1:8" ht="18" customHeight="1" x14ac:dyDescent="0.25"/>
    <row r="74" spans="1:8" ht="18" customHeight="1" x14ac:dyDescent="0.25"/>
    <row r="75" spans="1:8" ht="18" customHeight="1" x14ac:dyDescent="0.25"/>
    <row r="76" spans="1:8" ht="18" customHeight="1" x14ac:dyDescent="0.25"/>
    <row r="77" spans="1:8" ht="18" customHeight="1" x14ac:dyDescent="0.25"/>
    <row r="78" spans="1:8" ht="18" customHeight="1" x14ac:dyDescent="0.25"/>
    <row r="79" spans="1:8" ht="18" customHeight="1" x14ac:dyDescent="0.25"/>
    <row r="80" spans="1:8" ht="18" customHeight="1" x14ac:dyDescent="0.25"/>
  </sheetData>
  <mergeCells count="5">
    <mergeCell ref="A3:H3"/>
    <mergeCell ref="A50:H50"/>
    <mergeCell ref="A63:H63"/>
    <mergeCell ref="A18:H18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Cover</vt:lpstr>
      <vt:lpstr>Cable Schedule</vt:lpstr>
      <vt:lpstr>IO List</vt:lpstr>
      <vt:lpstr>Terminal Block Layout</vt:lpstr>
      <vt:lpstr>Cable Drum Register</vt:lpstr>
      <vt:lpstr>Wiring 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SZUCS</dc:creator>
  <cp:lastModifiedBy>Attila SZUCS</cp:lastModifiedBy>
  <dcterms:created xsi:type="dcterms:W3CDTF">2026-02-19T12:02:38Z</dcterms:created>
  <dcterms:modified xsi:type="dcterms:W3CDTF">2026-02-19T15:24:50Z</dcterms:modified>
</cp:coreProperties>
</file>